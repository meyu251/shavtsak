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yu2\Downloads\"/>
    </mc:Choice>
  </mc:AlternateContent>
  <xr:revisionPtr revIDLastSave="0" documentId="13_ncr:1_{F63DE291-821C-4064-B0F9-554E6BBC2C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דוגמא" sheetId="1" r:id="rId1"/>
    <sheet name="שבת, 21.02" sheetId="4" r:id="rId2"/>
    <sheet name="ראשון, 22.02" sheetId="5" r:id="rId3"/>
    <sheet name="טלפונים חשובים" sheetId="6" r:id="rId4"/>
    <sheet name="פרטים אישיים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5" l="1"/>
  <c r="E22" i="5"/>
  <c r="D22" i="5"/>
  <c r="L21" i="5"/>
  <c r="K21" i="5"/>
  <c r="J21" i="5"/>
  <c r="F21" i="5"/>
  <c r="E21" i="5"/>
  <c r="D21" i="5"/>
  <c r="X20" i="5"/>
  <c r="W20" i="5"/>
  <c r="V20" i="5"/>
  <c r="R20" i="5"/>
  <c r="Q20" i="5"/>
  <c r="P20" i="5"/>
  <c r="L20" i="5"/>
  <c r="K20" i="5"/>
  <c r="J20" i="5"/>
  <c r="F20" i="5"/>
  <c r="E20" i="5"/>
  <c r="D20" i="5"/>
  <c r="X19" i="5"/>
  <c r="W19" i="5"/>
  <c r="V19" i="5"/>
  <c r="R19" i="5"/>
  <c r="Q19" i="5"/>
  <c r="P19" i="5"/>
  <c r="L19" i="5"/>
  <c r="K19" i="5"/>
  <c r="J19" i="5"/>
  <c r="R18" i="5"/>
  <c r="Q18" i="5"/>
  <c r="P18" i="5"/>
  <c r="L18" i="5"/>
  <c r="K18" i="5"/>
  <c r="J18" i="5"/>
  <c r="R17" i="5"/>
  <c r="Q17" i="5"/>
  <c r="P17" i="5"/>
  <c r="R16" i="5"/>
  <c r="Q16" i="5"/>
  <c r="P16" i="5"/>
  <c r="R15" i="5"/>
  <c r="Q15" i="5"/>
  <c r="P15" i="5"/>
  <c r="F15" i="5"/>
  <c r="E15" i="5"/>
  <c r="D15" i="5"/>
  <c r="F14" i="5"/>
  <c r="E14" i="5"/>
  <c r="D14" i="5"/>
  <c r="X13" i="5"/>
  <c r="W13" i="5"/>
  <c r="V13" i="5"/>
  <c r="L13" i="5"/>
  <c r="K13" i="5"/>
  <c r="J13" i="5"/>
  <c r="F13" i="5"/>
  <c r="E13" i="5"/>
  <c r="D13" i="5"/>
  <c r="X12" i="5"/>
  <c r="W12" i="5"/>
  <c r="V12" i="5"/>
  <c r="L12" i="5"/>
  <c r="K12" i="5"/>
  <c r="J12" i="5"/>
  <c r="X11" i="5"/>
  <c r="W11" i="5"/>
  <c r="V11" i="5"/>
  <c r="L11" i="5"/>
  <c r="K11" i="5"/>
  <c r="J11" i="5"/>
  <c r="X10" i="5"/>
  <c r="W10" i="5"/>
  <c r="V10" i="5"/>
  <c r="L10" i="5"/>
  <c r="K10" i="5"/>
  <c r="J10" i="5"/>
  <c r="X9" i="5"/>
  <c r="W9" i="5"/>
  <c r="V9" i="5"/>
  <c r="R9" i="5"/>
  <c r="Q9" i="5"/>
  <c r="P9" i="5"/>
  <c r="L9" i="5"/>
  <c r="K9" i="5"/>
  <c r="J9" i="5"/>
  <c r="X8" i="5"/>
  <c r="W8" i="5"/>
  <c r="V8" i="5"/>
  <c r="R8" i="5"/>
  <c r="Q8" i="5"/>
  <c r="P8" i="5"/>
  <c r="L8" i="5"/>
  <c r="K8" i="5"/>
  <c r="J8" i="5"/>
  <c r="F8" i="5"/>
  <c r="E8" i="5"/>
  <c r="D8" i="5"/>
  <c r="X7" i="5"/>
  <c r="W7" i="5"/>
  <c r="V7" i="5"/>
  <c r="R7" i="5"/>
  <c r="Q7" i="5"/>
  <c r="P7" i="5"/>
  <c r="L7" i="5"/>
  <c r="K7" i="5"/>
  <c r="J7" i="5"/>
  <c r="F7" i="5"/>
  <c r="E7" i="5"/>
  <c r="D7" i="5"/>
  <c r="X6" i="5"/>
  <c r="W6" i="5"/>
  <c r="V6" i="5"/>
  <c r="R6" i="5"/>
  <c r="Q6" i="5"/>
  <c r="P6" i="5"/>
  <c r="L6" i="5"/>
  <c r="K6" i="5"/>
  <c r="J6" i="5"/>
  <c r="F6" i="5"/>
  <c r="E6" i="5"/>
  <c r="D6" i="5"/>
  <c r="F22" i="4"/>
  <c r="E22" i="4"/>
  <c r="D22" i="4"/>
  <c r="L21" i="4"/>
  <c r="K21" i="4"/>
  <c r="J21" i="4"/>
  <c r="F21" i="4"/>
  <c r="E21" i="4"/>
  <c r="D21" i="4"/>
  <c r="X20" i="4"/>
  <c r="W20" i="4"/>
  <c r="V20" i="4"/>
  <c r="R20" i="4"/>
  <c r="Q20" i="4"/>
  <c r="P20" i="4"/>
  <c r="L20" i="4"/>
  <c r="K20" i="4"/>
  <c r="J20" i="4"/>
  <c r="F20" i="4"/>
  <c r="E20" i="4"/>
  <c r="D20" i="4"/>
  <c r="X19" i="4"/>
  <c r="W19" i="4"/>
  <c r="V19" i="4"/>
  <c r="R19" i="4"/>
  <c r="Q19" i="4"/>
  <c r="P19" i="4"/>
  <c r="L19" i="4"/>
  <c r="K19" i="4"/>
  <c r="J19" i="4"/>
  <c r="R18" i="4"/>
  <c r="Q18" i="4"/>
  <c r="P18" i="4"/>
  <c r="L18" i="4"/>
  <c r="K18" i="4"/>
  <c r="J18" i="4"/>
  <c r="R17" i="4"/>
  <c r="Q17" i="4"/>
  <c r="P17" i="4"/>
  <c r="R16" i="4"/>
  <c r="Q16" i="4"/>
  <c r="P16" i="4"/>
  <c r="R15" i="4"/>
  <c r="Q15" i="4"/>
  <c r="P15" i="4"/>
  <c r="F15" i="4"/>
  <c r="E15" i="4"/>
  <c r="D15" i="4"/>
  <c r="F14" i="4"/>
  <c r="E14" i="4"/>
  <c r="D14" i="4"/>
  <c r="X13" i="4"/>
  <c r="W13" i="4"/>
  <c r="V13" i="4"/>
  <c r="L13" i="4"/>
  <c r="K13" i="4"/>
  <c r="J13" i="4"/>
  <c r="F13" i="4"/>
  <c r="E13" i="4"/>
  <c r="D13" i="4"/>
  <c r="X12" i="4"/>
  <c r="W12" i="4"/>
  <c r="V12" i="4"/>
  <c r="L12" i="4"/>
  <c r="K12" i="4"/>
  <c r="J12" i="4"/>
  <c r="X11" i="4"/>
  <c r="W11" i="4"/>
  <c r="V11" i="4"/>
  <c r="L11" i="4"/>
  <c r="K11" i="4"/>
  <c r="J11" i="4"/>
  <c r="X10" i="4"/>
  <c r="W10" i="4"/>
  <c r="V10" i="4"/>
  <c r="L10" i="4"/>
  <c r="K10" i="4"/>
  <c r="J10" i="4"/>
  <c r="X9" i="4"/>
  <c r="W9" i="4"/>
  <c r="V9" i="4"/>
  <c r="R9" i="4"/>
  <c r="Q9" i="4"/>
  <c r="P9" i="4"/>
  <c r="L9" i="4"/>
  <c r="K9" i="4"/>
  <c r="J9" i="4"/>
  <c r="X8" i="4"/>
  <c r="W8" i="4"/>
  <c r="V8" i="4"/>
  <c r="R8" i="4"/>
  <c r="Q8" i="4"/>
  <c r="P8" i="4"/>
  <c r="L8" i="4"/>
  <c r="K8" i="4"/>
  <c r="J8" i="4"/>
  <c r="F8" i="4"/>
  <c r="E8" i="4"/>
  <c r="D8" i="4"/>
  <c r="X7" i="4"/>
  <c r="W7" i="4"/>
  <c r="V7" i="4"/>
  <c r="R7" i="4"/>
  <c r="Q7" i="4"/>
  <c r="P7" i="4"/>
  <c r="L7" i="4"/>
  <c r="K7" i="4"/>
  <c r="J7" i="4"/>
  <c r="F7" i="4"/>
  <c r="E7" i="4"/>
  <c r="D7" i="4"/>
  <c r="X6" i="4"/>
  <c r="W6" i="4"/>
  <c r="V6" i="4"/>
  <c r="R6" i="4"/>
  <c r="Q6" i="4"/>
  <c r="P6" i="4"/>
  <c r="L6" i="4"/>
  <c r="K6" i="4"/>
  <c r="J6" i="4"/>
  <c r="F6" i="4"/>
  <c r="E6" i="4"/>
  <c r="D6" i="4"/>
  <c r="F22" i="1"/>
  <c r="E22" i="1"/>
  <c r="D22" i="1"/>
  <c r="L21" i="1"/>
  <c r="K21" i="1"/>
  <c r="J21" i="1"/>
  <c r="F21" i="1"/>
  <c r="E21" i="1"/>
  <c r="D21" i="1"/>
  <c r="X20" i="1"/>
  <c r="W20" i="1"/>
  <c r="V20" i="1"/>
  <c r="R20" i="1"/>
  <c r="Q20" i="1"/>
  <c r="P20" i="1"/>
  <c r="L20" i="1"/>
  <c r="K20" i="1"/>
  <c r="J20" i="1"/>
  <c r="F20" i="1"/>
  <c r="E20" i="1"/>
  <c r="D20" i="1"/>
  <c r="X19" i="1"/>
  <c r="W19" i="1"/>
  <c r="V19" i="1"/>
  <c r="R19" i="1"/>
  <c r="Q19" i="1"/>
  <c r="P19" i="1"/>
  <c r="L19" i="1"/>
  <c r="K19" i="1"/>
  <c r="J19" i="1"/>
  <c r="R18" i="1"/>
  <c r="Q18" i="1"/>
  <c r="P18" i="1"/>
  <c r="L18" i="1"/>
  <c r="K18" i="1"/>
  <c r="J18" i="1"/>
  <c r="R17" i="1"/>
  <c r="Q17" i="1"/>
  <c r="P17" i="1"/>
  <c r="R16" i="1"/>
  <c r="Q16" i="1"/>
  <c r="P16" i="1"/>
  <c r="R15" i="1"/>
  <c r="Q15" i="1"/>
  <c r="P15" i="1"/>
  <c r="F15" i="1"/>
  <c r="E15" i="1"/>
  <c r="D15" i="1"/>
  <c r="F14" i="1"/>
  <c r="E14" i="1"/>
  <c r="D14" i="1"/>
  <c r="X13" i="1"/>
  <c r="W13" i="1"/>
  <c r="V13" i="1"/>
  <c r="L13" i="1"/>
  <c r="K13" i="1"/>
  <c r="J13" i="1"/>
  <c r="F13" i="1"/>
  <c r="E13" i="1"/>
  <c r="D13" i="1"/>
  <c r="X12" i="1"/>
  <c r="W12" i="1"/>
  <c r="V12" i="1"/>
  <c r="L12" i="1"/>
  <c r="K12" i="1"/>
  <c r="J12" i="1"/>
  <c r="X11" i="1"/>
  <c r="W11" i="1"/>
  <c r="V11" i="1"/>
  <c r="L11" i="1"/>
  <c r="K11" i="1"/>
  <c r="J11" i="1"/>
  <c r="X10" i="1"/>
  <c r="W10" i="1"/>
  <c r="V10" i="1"/>
  <c r="L10" i="1"/>
  <c r="K10" i="1"/>
  <c r="J10" i="1"/>
  <c r="X9" i="1"/>
  <c r="W9" i="1"/>
  <c r="V9" i="1"/>
  <c r="R9" i="1"/>
  <c r="Q9" i="1"/>
  <c r="P9" i="1"/>
  <c r="L9" i="1"/>
  <c r="K9" i="1"/>
  <c r="J9" i="1"/>
  <c r="X8" i="1"/>
  <c r="W8" i="1"/>
  <c r="V8" i="1"/>
  <c r="R8" i="1"/>
  <c r="Q8" i="1"/>
  <c r="P8" i="1"/>
  <c r="L8" i="1"/>
  <c r="K8" i="1"/>
  <c r="J8" i="1"/>
  <c r="F8" i="1"/>
  <c r="E8" i="1"/>
  <c r="D8" i="1"/>
  <c r="X7" i="1"/>
  <c r="W7" i="1"/>
  <c r="V7" i="1"/>
  <c r="R7" i="1"/>
  <c r="Q7" i="1"/>
  <c r="P7" i="1"/>
  <c r="L7" i="1"/>
  <c r="K7" i="1"/>
  <c r="J7" i="1"/>
  <c r="F7" i="1"/>
  <c r="E7" i="1"/>
  <c r="D7" i="1"/>
  <c r="X6" i="1"/>
  <c r="W6" i="1"/>
  <c r="V6" i="1"/>
  <c r="R6" i="1"/>
  <c r="Q6" i="1"/>
  <c r="P6" i="1"/>
  <c r="L6" i="1"/>
  <c r="K6" i="1"/>
  <c r="J6" i="1"/>
  <c r="F6" i="1"/>
  <c r="E6" i="1"/>
  <c r="D6" i="1"/>
</calcChain>
</file>

<file path=xl/sharedStrings.xml><?xml version="1.0" encoding="utf-8"?>
<sst xmlns="http://schemas.openxmlformats.org/spreadsheetml/2006/main" count="422" uniqueCount="236">
  <si>
    <t>סיור בוקר 07:00-15:00</t>
  </si>
  <si>
    <t>כרמל א</t>
  </si>
  <si>
    <t>חפ"ק</t>
  </si>
  <si>
    <t>ש.ג.</t>
  </si>
  <si>
    <t>שם:</t>
  </si>
  <si>
    <t>פלאפון:</t>
  </si>
  <si>
    <t>מ.א.</t>
  </si>
  <si>
    <t>תפקיד:</t>
  </si>
  <si>
    <t>[מחר בבוקר]</t>
  </si>
  <si>
    <t>05-07 (בונקר)</t>
  </si>
  <si>
    <t>סיור ערב 15:00-23:00</t>
  </si>
  <si>
    <t>גרשון</t>
  </si>
  <si>
    <t>11-13</t>
  </si>
  <si>
    <t>כרמל ב</t>
  </si>
  <si>
    <t>תורנים</t>
  </si>
  <si>
    <t>סיור לילה 23:00-07:00</t>
  </si>
  <si>
    <t>מטבח:</t>
  </si>
  <si>
    <t>מפלג:</t>
  </si>
  <si>
    <t>מאיר יוסט</t>
  </si>
  <si>
    <t>ניר לוסטיג</t>
  </si>
  <si>
    <t>אביתר בן-שושן</t>
  </si>
  <si>
    <t>יגאל שטיינמיץ</t>
  </si>
  <si>
    <t>מיכאל ירט</t>
  </si>
  <si>
    <t>אסף פרוינד</t>
  </si>
  <si>
    <t>אלון האוקיפ</t>
  </si>
  <si>
    <t>טאי ארזואן</t>
  </si>
  <si>
    <t>אלון לונגדים</t>
  </si>
  <si>
    <t>עמית חורש</t>
  </si>
  <si>
    <t>שחר בוחבוט</t>
  </si>
  <si>
    <t>אוראל סמדג'ה</t>
  </si>
  <si>
    <t>יאיר שוייצר</t>
  </si>
  <si>
    <t>נתנאל שלום</t>
  </si>
  <si>
    <t>אריאל וילנר</t>
  </si>
  <si>
    <t>עומר חמו</t>
  </si>
  <si>
    <t>גל יערי</t>
  </si>
  <si>
    <t>טלפון:</t>
  </si>
  <si>
    <t>חמ"ל פלוגת אליעד</t>
  </si>
  <si>
    <t>04-6674202</t>
  </si>
  <si>
    <t>חמ"ל גדוד</t>
  </si>
  <si>
    <t>04-6674201</t>
  </si>
  <si>
    <t>רבש"צ אליעד</t>
  </si>
  <si>
    <t>050-7881604</t>
  </si>
  <si>
    <t>שער אליעד</t>
  </si>
  <si>
    <t>050-8109801</t>
  </si>
  <si>
    <t>רבש"צ אבני איתן</t>
  </si>
  <si>
    <t>054-7725650</t>
  </si>
  <si>
    <t>שער אבני איתן</t>
  </si>
  <si>
    <t>050-4750573</t>
  </si>
  <si>
    <t>רבש"צ מיצר</t>
  </si>
  <si>
    <t>052-4576071</t>
  </si>
  <si>
    <t>שער מיצר</t>
  </si>
  <si>
    <t>052-4185453</t>
  </si>
  <si>
    <t>רבש"צ מבוא חמה</t>
  </si>
  <si>
    <t>052-6697460</t>
  </si>
  <si>
    <t>שער מבוא חמה</t>
  </si>
  <si>
    <t>050-4750535</t>
  </si>
  <si>
    <t>רבש"צ כפר חרוב</t>
  </si>
  <si>
    <t>054-5676830</t>
  </si>
  <si>
    <t>שער כפר חרוב</t>
  </si>
  <si>
    <t>050-9284210</t>
  </si>
  <si>
    <t>רבש"צ גשור</t>
  </si>
  <si>
    <t>052-9286318</t>
  </si>
  <si>
    <t>שער גשור</t>
  </si>
  <si>
    <t>050-6712132</t>
  </si>
  <si>
    <t>רבש"צ אפיק</t>
  </si>
  <si>
    <t>052-4261166</t>
  </si>
  <si>
    <t>שער אפיק</t>
  </si>
  <si>
    <t>פתוח 24 שעות</t>
  </si>
  <si>
    <t>רבש"צ נאות גולן</t>
  </si>
  <si>
    <t>050-3996633</t>
  </si>
  <si>
    <t>שער נאות גולן</t>
  </si>
  <si>
    <t>050-6712145</t>
  </si>
  <si>
    <t>רבש"צ גבעת יואב</t>
  </si>
  <si>
    <t>054-2347605</t>
  </si>
  <si>
    <t>שער גבעת יואב</t>
  </si>
  <si>
    <t>052-4234775</t>
  </si>
  <si>
    <t>רבש"צ בני יהודה</t>
  </si>
  <si>
    <t>050-8890018</t>
  </si>
  <si>
    <t>שער בני יהודה</t>
  </si>
  <si>
    <t>אין שער</t>
  </si>
  <si>
    <t>מחלקה</t>
  </si>
  <si>
    <t>שם</t>
  </si>
  <si>
    <t>פלאפון</t>
  </si>
  <si>
    <t>תפקיד</t>
  </si>
  <si>
    <t>058-6644228</t>
  </si>
  <si>
    <t>מ"מ</t>
  </si>
  <si>
    <t>חגי רובינשטיין</t>
  </si>
  <si>
    <t>052-6469548</t>
  </si>
  <si>
    <t>סמל</t>
  </si>
  <si>
    <t>דניאל דהן</t>
  </si>
  <si>
    <t>050-2765495</t>
  </si>
  <si>
    <t>קלע</t>
  </si>
  <si>
    <t>054-6979195</t>
  </si>
  <si>
    <t>לוחם</t>
  </si>
  <si>
    <t>052-4798833</t>
  </si>
  <si>
    <t>חובש</t>
  </si>
  <si>
    <t>054-6406758</t>
  </si>
  <si>
    <t>חי בראשי</t>
  </si>
  <si>
    <t>052-5099924</t>
  </si>
  <si>
    <t>מאור לבקוביץ'</t>
  </si>
  <si>
    <t>054-2100179</t>
  </si>
  <si>
    <t>054-9147809</t>
  </si>
  <si>
    <t>052-3909856</t>
  </si>
  <si>
    <t>052-2456636</t>
  </si>
  <si>
    <t>053-5251353</t>
  </si>
  <si>
    <t>052-6226118</t>
  </si>
  <si>
    <t>נבון דסה</t>
  </si>
  <si>
    <t>053-9650801</t>
  </si>
  <si>
    <t>מטול</t>
  </si>
  <si>
    <t>שחר פדלון</t>
  </si>
  <si>
    <t>054-2388183</t>
  </si>
  <si>
    <t>053-3010189</t>
  </si>
  <si>
    <t>יהושע צונגלוי</t>
  </si>
  <si>
    <t>050-6855178</t>
  </si>
  <si>
    <t>שמואל סינגסון</t>
  </si>
  <si>
    <t>050-4662828</t>
  </si>
  <si>
    <t>050-7667727</t>
  </si>
  <si>
    <t>איהב אבו-ריש</t>
  </si>
  <si>
    <t>050-5858103</t>
  </si>
  <si>
    <t>050-4201499</t>
  </si>
  <si>
    <t>050-5956124</t>
  </si>
  <si>
    <t>אהוד חסידיאן</t>
  </si>
  <si>
    <t>055-6663912</t>
  </si>
  <si>
    <t>איילו (עידן) טקלה</t>
  </si>
  <si>
    <t>050-6907999</t>
  </si>
  <si>
    <t>מ״כ</t>
  </si>
  <si>
    <t>נתנאל ספוז'ניקוב</t>
  </si>
  <si>
    <t>052-8025394</t>
  </si>
  <si>
    <t>רועי סימון</t>
  </si>
  <si>
    <t>054-6862313</t>
  </si>
  <si>
    <t>לאל יחיאלי</t>
  </si>
  <si>
    <t>052-7300036</t>
  </si>
  <si>
    <t>אשגרה בלטה</t>
  </si>
  <si>
    <t>054-7358086</t>
  </si>
  <si>
    <t>לידור מתנה</t>
  </si>
  <si>
    <t>054-7587868</t>
  </si>
  <si>
    <t>אבי לופו</t>
  </si>
  <si>
    <t>050-6899970</t>
  </si>
  <si>
    <t>סמב״צ על</t>
  </si>
  <si>
    <t>רוי אבוטבול</t>
  </si>
  <si>
    <t>052-5758775</t>
  </si>
  <si>
    <t>נריה ברזילי</t>
  </si>
  <si>
    <t>052-7031875</t>
  </si>
  <si>
    <t>שחף אלפסי</t>
  </si>
  <si>
    <t>052-2504954</t>
  </si>
  <si>
    <t>חיים חשדי</t>
  </si>
  <si>
    <t>050-9355978</t>
  </si>
  <si>
    <t>בקא ינקילוביץ</t>
  </si>
  <si>
    <t>אוריה כהן</t>
  </si>
  <si>
    <t>054-7090523</t>
  </si>
  <si>
    <t>גיל כהן</t>
  </si>
  <si>
    <t>052-4732508</t>
  </si>
  <si>
    <t>עידו גלאי</t>
  </si>
  <si>
    <t>054-9104484</t>
  </si>
  <si>
    <t>נאור חורי</t>
  </si>
  <si>
    <t>052-8400735</t>
  </si>
  <si>
    <t>רועי שטרן</t>
  </si>
  <si>
    <t>050-4229066</t>
  </si>
  <si>
    <t>שלמה אנטופולסקי</t>
  </si>
  <si>
    <t>053-4254772</t>
  </si>
  <si>
    <t>אהרון כהן</t>
  </si>
  <si>
    <t>058-5782828</t>
  </si>
  <si>
    <t>פרץ האוקיפ</t>
  </si>
  <si>
    <t>053-2246258</t>
  </si>
  <si>
    <t>שמואל חונגסאי</t>
  </si>
  <si>
    <t>053-8585307</t>
  </si>
  <si>
    <t>אור שימרון</t>
  </si>
  <si>
    <t>050-3231603</t>
  </si>
  <si>
    <t>יהודה האוקיפ</t>
  </si>
  <si>
    <t>055-6841199</t>
  </si>
  <si>
    <t>נווה כהן</t>
  </si>
  <si>
    <t>058-7780570</t>
  </si>
  <si>
    <t>יצחק ביטון</t>
  </si>
  <si>
    <t>050-2190035</t>
  </si>
  <si>
    <t>אלחנן שפירא</t>
  </si>
  <si>
    <t>058-4771731</t>
  </si>
  <si>
    <t>ערן ברקוביץ</t>
  </si>
  <si>
    <t>050-2556665</t>
  </si>
  <si>
    <t>יואל רוביני</t>
  </si>
  <si>
    <t>052-7570735</t>
  </si>
  <si>
    <t>יצחק ארניאס</t>
  </si>
  <si>
    <t>050-8619549</t>
  </si>
  <si>
    <t>משה אבולעפיה</t>
  </si>
  <si>
    <t>055-6654524</t>
  </si>
  <si>
    <t>אביחי איילין</t>
  </si>
  <si>
    <t>053-8880497</t>
  </si>
  <si>
    <t>אליאב ברוך</t>
  </si>
  <si>
    <t>053-4295739</t>
  </si>
  <si>
    <t>ינון חדד</t>
  </si>
  <si>
    <t>058-6633627</t>
  </si>
  <si>
    <t>יאיר הורדס</t>
  </si>
  <si>
    <t>058-6229968</t>
  </si>
  <si>
    <t>אלישיב גמליאל</t>
  </si>
  <si>
    <t>055-6627036</t>
  </si>
  <si>
    <t>עדן ביינה</t>
  </si>
  <si>
    <t>054-2807765</t>
  </si>
  <si>
    <t>מיכאל לוי</t>
  </si>
  <si>
    <t>054-2162638</t>
  </si>
  <si>
    <t>ישי שרקי</t>
  </si>
  <si>
    <t>053-7207328</t>
  </si>
  <si>
    <t>איתמר פנחסי</t>
  </si>
  <si>
    <t>058-5333436</t>
  </si>
  <si>
    <t>יונתן אטיאס</t>
  </si>
  <si>
    <t>050-5995003</t>
  </si>
  <si>
    <t>אליהו אלישע גימפל</t>
  </si>
  <si>
    <t>054-3916702</t>
  </si>
  <si>
    <t>אריאל אתדגי</t>
  </si>
  <si>
    <t>052-3266761</t>
  </si>
  <si>
    <t>שלמה בן חמו</t>
  </si>
  <si>
    <t>058-7020120</t>
  </si>
  <si>
    <t>אריאל ציגלר</t>
  </si>
  <si>
    <t>054-3103870</t>
  </si>
  <si>
    <t>יובל שרגאי</t>
  </si>
  <si>
    <t>050-6422434</t>
  </si>
  <si>
    <t>שרון גוילי</t>
  </si>
  <si>
    <t>050-9323226</t>
  </si>
  <si>
    <t>מפל"ג</t>
  </si>
  <si>
    <t>יעקב ביטון</t>
  </si>
  <si>
    <t>052-5558204</t>
  </si>
  <si>
    <t>058-6633010</t>
  </si>
  <si>
    <t>054-9437255</t>
  </si>
  <si>
    <t>שניר שילוח</t>
  </si>
  <si>
    <t>054-2599896</t>
  </si>
  <si>
    <t>עידן חדד</t>
  </si>
  <si>
    <t>053-6246517</t>
  </si>
  <si>
    <t>יכין בן אברהם</t>
  </si>
  <si>
    <t>052-7362259</t>
  </si>
  <si>
    <t>חננאל לנקרי</t>
  </si>
  <si>
    <t>054-6716439</t>
  </si>
  <si>
    <t>ישראל אליהו</t>
  </si>
  <si>
    <t>050-5557148</t>
  </si>
  <si>
    <t>רון ליאון</t>
  </si>
  <si>
    <t>054-7988874</t>
  </si>
  <si>
    <t>054-7724730</t>
  </si>
  <si>
    <t>יוני סיסו</t>
  </si>
  <si>
    <t>052-7243298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</si>
</sst>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"/>
  </numFmts>
  <fonts count="2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Roboto"/>
    </font>
    <font>
      <sz val="10"/>
      <color rgb="FF434343"/>
      <name val="Roboto"/>
    </font>
    <font>
      <sz val="10"/>
      <color rgb="FF1F1F1F"/>
      <name val="Google Sans Mono"/>
    </font>
    <font>
      <sz val="15"/>
      <color theme="1"/>
      <name val="David"/>
    </font>
    <font>
      <b/>
      <sz val="15"/>
      <color theme="1"/>
      <name val="David"/>
    </font>
    <font>
      <b/>
      <sz val="14"/>
      <color rgb="FF434343"/>
      <name val="Roboto"/>
    </font>
    <font>
      <b/>
      <sz val="14"/>
      <color rgb="FF1F1F1F"/>
      <name val="Google Sans Mono"/>
    </font>
    <font>
      <b/>
      <sz val="14"/>
      <color rgb="FF434343"/>
      <name val="David"/>
    </font>
    <font>
      <b/>
      <sz val="14"/>
      <color rgb="FF1F1F1F"/>
      <name val="David"/>
    </font>
    <font>
      <sz val="14"/>
      <color theme="1"/>
      <name val="Arial"/>
      <scheme val="minor"/>
    </font>
    <font>
      <b/>
      <sz val="14"/>
      <color theme="1"/>
      <name val="Arial"/>
    </font>
    <font>
      <sz val="12"/>
      <color theme="1"/>
      <name val="David"/>
    </font>
    <font>
      <sz val="13"/>
      <color theme="1"/>
      <name val="David"/>
    </font>
    <font>
      <sz val="11"/>
      <color theme="1"/>
      <name val="David"/>
    </font>
    <font>
      <sz val="13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B463C"/>
        <bgColor rgb="FFBB463C"/>
      </patternFill>
    </fill>
    <fill>
      <patternFill patternType="solid">
        <fgColor rgb="FF535FC1"/>
        <bgColor rgb="FF535FC1"/>
      </patternFill>
    </fill>
    <fill>
      <patternFill patternType="solid">
        <fgColor rgb="FF9763E1"/>
        <bgColor rgb="FF9763E1"/>
      </patternFill>
    </fill>
    <fill>
      <patternFill patternType="solid">
        <fgColor rgb="FF19A619"/>
        <bgColor rgb="FF19A619"/>
      </patternFill>
    </fill>
    <fill>
      <patternFill patternType="solid">
        <fgColor rgb="FFF6F8F9"/>
        <bgColor rgb="FFF6F8F9"/>
      </patternFill>
    </fill>
    <fill>
      <patternFill patternType="solid">
        <fgColor rgb="FFF0F4F9"/>
        <bgColor rgb="FFF0F4F9"/>
      </patternFill>
    </fill>
    <fill>
      <patternFill patternType="solid">
        <fgColor rgb="FFFBE4D5"/>
        <bgColor rgb="FFFBE4D5"/>
      </patternFill>
    </fill>
    <fill>
      <patternFill patternType="solid">
        <fgColor rgb="FF70AD47"/>
        <bgColor rgb="FF70AD47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/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D9D9D9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6" borderId="11" xfId="0" applyFont="1" applyFill="1" applyBorder="1" applyAlignment="1">
      <alignment vertical="center"/>
    </xf>
    <xf numFmtId="0" fontId="15" fillId="6" borderId="12" xfId="0" applyFont="1" applyFill="1" applyBorder="1" applyAlignment="1">
      <alignment vertical="center"/>
    </xf>
    <xf numFmtId="0" fontId="10" fillId="6" borderId="4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0" fontId="18" fillId="0" borderId="0" xfId="0" applyFont="1"/>
    <xf numFmtId="0" fontId="17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94">
    <dxf>
      <fill>
        <patternFill patternType="solid">
          <fgColor rgb="FFC9DAF8"/>
          <bgColor rgb="FFC9DAF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C7"/>
          <bgColor rgb="FFFFFFC7"/>
        </patternFill>
      </fill>
    </dxf>
    <dxf>
      <fill>
        <patternFill patternType="solid">
          <fgColor rgb="FFB6D7A8"/>
          <bgColor rgb="FFB6D7A8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A619"/>
          <bgColor rgb="FF19A61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763E1"/>
          <bgColor rgb="FF9763E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47">
    <tableStyle name="דוגמא-style" pivot="0" count="4" xr9:uid="{00000000-0011-0000-FFFF-FFFF00000000}">
      <tableStyleElement type="wholeTable" size="0" dxfId="190"/>
      <tableStyleElement type="headerRow" dxfId="193"/>
      <tableStyleElement type="firstRowStripe" dxfId="192"/>
      <tableStyleElement type="secondRowStripe" dxfId="191"/>
    </tableStyle>
    <tableStyle name="דוגמא-style 2" pivot="0" count="4" xr9:uid="{00000000-0011-0000-FFFF-FFFF01000000}">
      <tableStyleElement type="wholeTable" size="0" dxfId="186"/>
      <tableStyleElement type="headerRow" dxfId="189"/>
      <tableStyleElement type="firstRowStripe" dxfId="188"/>
      <tableStyleElement type="secondRowStripe" dxfId="187"/>
    </tableStyle>
    <tableStyle name="דוגמא-style 3" pivot="0" count="4" xr9:uid="{00000000-0011-0000-FFFF-FFFF02000000}">
      <tableStyleElement type="wholeTable" size="0" dxfId="182"/>
      <tableStyleElement type="headerRow" dxfId="185"/>
      <tableStyleElement type="firstRowStripe" dxfId="184"/>
      <tableStyleElement type="secondRowStripe" dxfId="183"/>
    </tableStyle>
    <tableStyle name="דוגמא-style 4" pivot="0" count="4" xr9:uid="{00000000-0011-0000-FFFF-FFFF03000000}">
      <tableStyleElement type="wholeTable" size="0" dxfId="178"/>
      <tableStyleElement type="headerRow" dxfId="181"/>
      <tableStyleElement type="firstRowStripe" dxfId="180"/>
      <tableStyleElement type="secondRowStripe" dxfId="179"/>
    </tableStyle>
    <tableStyle name="דוגמא-style 5" pivot="0" count="4" xr9:uid="{00000000-0011-0000-FFFF-FFFF04000000}">
      <tableStyleElement type="wholeTable" size="0" dxfId="174"/>
      <tableStyleElement type="headerRow" dxfId="177"/>
      <tableStyleElement type="firstRowStripe" dxfId="176"/>
      <tableStyleElement type="secondRowStripe" dxfId="175"/>
    </tableStyle>
    <tableStyle name="דוגמא-style 6" pivot="0" count="4" xr9:uid="{00000000-0011-0000-FFFF-FFFF05000000}">
      <tableStyleElement type="wholeTable" size="0" dxfId="170"/>
      <tableStyleElement type="headerRow" dxfId="173"/>
      <tableStyleElement type="firstRowStripe" dxfId="172"/>
      <tableStyleElement type="secondRowStripe" dxfId="171"/>
    </tableStyle>
    <tableStyle name="דוגמא-style 7" pivot="0" count="4" xr9:uid="{00000000-0011-0000-FFFF-FFFF06000000}">
      <tableStyleElement type="wholeTable" size="0" dxfId="166"/>
      <tableStyleElement type="headerRow" dxfId="169"/>
      <tableStyleElement type="firstRowStripe" dxfId="168"/>
      <tableStyleElement type="secondRowStripe" dxfId="167"/>
    </tableStyle>
    <tableStyle name="דוגמא-style 8" pivot="0" count="4" xr9:uid="{00000000-0011-0000-FFFF-FFFF07000000}">
      <tableStyleElement type="wholeTable" size="0" dxfId="162"/>
      <tableStyleElement type="headerRow" dxfId="165"/>
      <tableStyleElement type="firstRowStripe" dxfId="164"/>
      <tableStyleElement type="secondRowStripe" dxfId="163"/>
    </tableStyle>
    <tableStyle name="דוגמא-style 9" pivot="0" count="4" xr9:uid="{00000000-0011-0000-FFFF-FFFF08000000}">
      <tableStyleElement type="wholeTable" size="0" dxfId="158"/>
      <tableStyleElement type="headerRow" dxfId="161"/>
      <tableStyleElement type="firstRowStripe" dxfId="160"/>
      <tableStyleElement type="secondRowStripe" dxfId="159"/>
    </tableStyle>
    <tableStyle name="חמישי, 19.02-style" pivot="0" count="4" xr9:uid="{00000000-0011-0000-FFFF-FFFF09000000}">
      <tableStyleElement type="wholeTable" size="0" dxfId="154"/>
      <tableStyleElement type="headerRow" dxfId="157"/>
      <tableStyleElement type="firstRowStripe" dxfId="156"/>
      <tableStyleElement type="secondRowStripe" dxfId="155"/>
    </tableStyle>
    <tableStyle name="חמישי, 19.02-style 2" pivot="0" count="4" xr9:uid="{00000000-0011-0000-FFFF-FFFF0A000000}">
      <tableStyleElement type="wholeTable" size="0" dxfId="150"/>
      <tableStyleElement type="headerRow" dxfId="153"/>
      <tableStyleElement type="firstRowStripe" dxfId="152"/>
      <tableStyleElement type="secondRowStripe" dxfId="151"/>
    </tableStyle>
    <tableStyle name="חמישי, 19.02-style 3" pivot="0" count="4" xr9:uid="{00000000-0011-0000-FFFF-FFFF0B000000}">
      <tableStyleElement type="wholeTable" size="0" dxfId="146"/>
      <tableStyleElement type="headerRow" dxfId="149"/>
      <tableStyleElement type="firstRowStripe" dxfId="148"/>
      <tableStyleElement type="secondRowStripe" dxfId="147"/>
    </tableStyle>
    <tableStyle name="חמישי, 19.02-style 4" pivot="0" count="4" xr9:uid="{00000000-0011-0000-FFFF-FFFF0C000000}">
      <tableStyleElement type="wholeTable" size="0" dxfId="142"/>
      <tableStyleElement type="headerRow" dxfId="145"/>
      <tableStyleElement type="firstRowStripe" dxfId="144"/>
      <tableStyleElement type="secondRowStripe" dxfId="143"/>
    </tableStyle>
    <tableStyle name="חמישי, 19.02-style 5" pivot="0" count="4" xr9:uid="{00000000-0011-0000-FFFF-FFFF0D000000}">
      <tableStyleElement type="wholeTable" size="0" dxfId="138"/>
      <tableStyleElement type="headerRow" dxfId="141"/>
      <tableStyleElement type="firstRowStripe" dxfId="140"/>
      <tableStyleElement type="secondRowStripe" dxfId="139"/>
    </tableStyle>
    <tableStyle name="חמישי, 19.02-style 6" pivot="0" count="4" xr9:uid="{00000000-0011-0000-FFFF-FFFF0E000000}">
      <tableStyleElement type="wholeTable" size="0" dxfId="134"/>
      <tableStyleElement type="headerRow" dxfId="137"/>
      <tableStyleElement type="firstRowStripe" dxfId="136"/>
      <tableStyleElement type="secondRowStripe" dxfId="135"/>
    </tableStyle>
    <tableStyle name="חמישי, 19.02-style 7" pivot="0" count="4" xr9:uid="{00000000-0011-0000-FFFF-FFFF0F000000}">
      <tableStyleElement type="wholeTable" size="0" dxfId="130"/>
      <tableStyleElement type="headerRow" dxfId="133"/>
      <tableStyleElement type="firstRowStripe" dxfId="132"/>
      <tableStyleElement type="secondRowStripe" dxfId="131"/>
    </tableStyle>
    <tableStyle name="חמישי, 19.02-style 8" pivot="0" count="4" xr9:uid="{00000000-0011-0000-FFFF-FFFF10000000}">
      <tableStyleElement type="wholeTable" size="0" dxfId="126"/>
      <tableStyleElement type="headerRow" dxfId="129"/>
      <tableStyleElement type="firstRowStripe" dxfId="128"/>
      <tableStyleElement type="secondRowStripe" dxfId="127"/>
    </tableStyle>
    <tableStyle name="חמישי, 19.02-style 9" pivot="0" count="4" xr9:uid="{00000000-0011-0000-FFFF-FFFF11000000}">
      <tableStyleElement type="wholeTable" size="0" dxfId="122"/>
      <tableStyleElement type="headerRow" dxfId="125"/>
      <tableStyleElement type="firstRowStripe" dxfId="124"/>
      <tableStyleElement type="secondRowStripe" dxfId="123"/>
    </tableStyle>
    <tableStyle name="שישי, 20.02-style" pivot="0" count="4" xr9:uid="{00000000-0011-0000-FFFF-FFFF12000000}">
      <tableStyleElement type="wholeTable" size="0" dxfId="118"/>
      <tableStyleElement type="headerRow" dxfId="121"/>
      <tableStyleElement type="firstRowStripe" dxfId="120"/>
      <tableStyleElement type="secondRowStripe" dxfId="119"/>
    </tableStyle>
    <tableStyle name="שישי, 20.02-style 2" pivot="0" count="4" xr9:uid="{00000000-0011-0000-FFFF-FFFF13000000}">
      <tableStyleElement type="wholeTable" size="0" dxfId="114"/>
      <tableStyleElement type="headerRow" dxfId="117"/>
      <tableStyleElement type="firstRowStripe" dxfId="116"/>
      <tableStyleElement type="secondRowStripe" dxfId="115"/>
    </tableStyle>
    <tableStyle name="שישי, 20.02-style 3" pivot="0" count="4" xr9:uid="{00000000-0011-0000-FFFF-FFFF14000000}">
      <tableStyleElement type="wholeTable" size="0" dxfId="110"/>
      <tableStyleElement type="headerRow" dxfId="113"/>
      <tableStyleElement type="firstRowStripe" dxfId="112"/>
      <tableStyleElement type="secondRowStripe" dxfId="111"/>
    </tableStyle>
    <tableStyle name="שישי, 20.02-style 4" pivot="0" count="4" xr9:uid="{00000000-0011-0000-FFFF-FFFF15000000}">
      <tableStyleElement type="wholeTable" size="0" dxfId="106"/>
      <tableStyleElement type="headerRow" dxfId="109"/>
      <tableStyleElement type="firstRowStripe" dxfId="108"/>
      <tableStyleElement type="secondRowStripe" dxfId="107"/>
    </tableStyle>
    <tableStyle name="שישי, 20.02-style 5" pivot="0" count="4" xr9:uid="{00000000-0011-0000-FFFF-FFFF16000000}">
      <tableStyleElement type="wholeTable" size="0" dxfId="102"/>
      <tableStyleElement type="headerRow" dxfId="105"/>
      <tableStyleElement type="firstRowStripe" dxfId="104"/>
      <tableStyleElement type="secondRowStripe" dxfId="103"/>
    </tableStyle>
    <tableStyle name="שישי, 20.02-style 6" pivot="0" count="4" xr9:uid="{00000000-0011-0000-FFFF-FFFF17000000}">
      <tableStyleElement type="wholeTable" size="0" dxfId="98"/>
      <tableStyleElement type="headerRow" dxfId="101"/>
      <tableStyleElement type="firstRowStripe" dxfId="100"/>
      <tableStyleElement type="secondRowStripe" dxfId="99"/>
    </tableStyle>
    <tableStyle name="שישי, 20.02-style 7" pivot="0" count="4" xr9:uid="{00000000-0011-0000-FFFF-FFFF18000000}">
      <tableStyleElement type="wholeTable" size="0" dxfId="94"/>
      <tableStyleElement type="headerRow" dxfId="97"/>
      <tableStyleElement type="firstRowStripe" dxfId="96"/>
      <tableStyleElement type="secondRowStripe" dxfId="95"/>
    </tableStyle>
    <tableStyle name="שישי, 20.02-style 8" pivot="0" count="4" xr9:uid="{00000000-0011-0000-FFFF-FFFF19000000}">
      <tableStyleElement type="wholeTable" size="0" dxfId="90"/>
      <tableStyleElement type="headerRow" dxfId="93"/>
      <tableStyleElement type="firstRowStripe" dxfId="92"/>
      <tableStyleElement type="secondRowStripe" dxfId="91"/>
    </tableStyle>
    <tableStyle name="שישי, 20.02-style 9" pivot="0" count="4" xr9:uid="{00000000-0011-0000-FFFF-FFFF1A000000}">
      <tableStyleElement type="wholeTable" size="0" dxfId="86"/>
      <tableStyleElement type="headerRow" dxfId="89"/>
      <tableStyleElement type="firstRowStripe" dxfId="88"/>
      <tableStyleElement type="secondRowStripe" dxfId="87"/>
    </tableStyle>
    <tableStyle name="שבת, 21.02-style" pivot="0" count="4" xr9:uid="{00000000-0011-0000-FFFF-FFFF1B000000}">
      <tableStyleElement type="wholeTable" size="0" dxfId="82"/>
      <tableStyleElement type="headerRow" dxfId="85"/>
      <tableStyleElement type="firstRowStripe" dxfId="84"/>
      <tableStyleElement type="secondRowStripe" dxfId="83"/>
    </tableStyle>
    <tableStyle name="שבת, 21.02-style 2" pivot="0" count="4" xr9:uid="{00000000-0011-0000-FFFF-FFFF1C000000}">
      <tableStyleElement type="wholeTable" size="0" dxfId="78"/>
      <tableStyleElement type="headerRow" dxfId="81"/>
      <tableStyleElement type="firstRowStripe" dxfId="80"/>
      <tableStyleElement type="secondRowStripe" dxfId="79"/>
    </tableStyle>
    <tableStyle name="שבת, 21.02-style 3" pivot="0" count="4" xr9:uid="{00000000-0011-0000-FFFF-FFFF1D000000}">
      <tableStyleElement type="wholeTable" size="0" dxfId="74"/>
      <tableStyleElement type="headerRow" dxfId="77"/>
      <tableStyleElement type="firstRowStripe" dxfId="76"/>
      <tableStyleElement type="secondRowStripe" dxfId="75"/>
    </tableStyle>
    <tableStyle name="שבת, 21.02-style 4" pivot="0" count="4" xr9:uid="{00000000-0011-0000-FFFF-FFFF1E000000}">
      <tableStyleElement type="wholeTable" size="0" dxfId="70"/>
      <tableStyleElement type="headerRow" dxfId="73"/>
      <tableStyleElement type="firstRowStripe" dxfId="72"/>
      <tableStyleElement type="secondRowStripe" dxfId="71"/>
    </tableStyle>
    <tableStyle name="שבת, 21.02-style 5" pivot="0" count="4" xr9:uid="{00000000-0011-0000-FFFF-FFFF1F000000}">
      <tableStyleElement type="wholeTable" size="0" dxfId="66"/>
      <tableStyleElement type="headerRow" dxfId="69"/>
      <tableStyleElement type="firstRowStripe" dxfId="68"/>
      <tableStyleElement type="secondRowStripe" dxfId="67"/>
    </tableStyle>
    <tableStyle name="שבת, 21.02-style 6" pivot="0" count="4" xr9:uid="{00000000-0011-0000-FFFF-FFFF20000000}">
      <tableStyleElement type="wholeTable" size="0" dxfId="62"/>
      <tableStyleElement type="headerRow" dxfId="65"/>
      <tableStyleElement type="firstRowStripe" dxfId="64"/>
      <tableStyleElement type="secondRowStripe" dxfId="63"/>
    </tableStyle>
    <tableStyle name="שבת, 21.02-style 7" pivot="0" count="4" xr9:uid="{00000000-0011-0000-FFFF-FFFF21000000}">
      <tableStyleElement type="wholeTable" size="0" dxfId="58"/>
      <tableStyleElement type="headerRow" dxfId="61"/>
      <tableStyleElement type="firstRowStripe" dxfId="60"/>
      <tableStyleElement type="secondRowStripe" dxfId="59"/>
    </tableStyle>
    <tableStyle name="שבת, 21.02-style 8" pivot="0" count="4" xr9:uid="{00000000-0011-0000-FFFF-FFFF22000000}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שבת, 21.02-style 9" pivot="0" count="4" xr9:uid="{00000000-0011-0000-FFFF-FFFF23000000}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ראשון, 22.02-style" pivot="0" count="4" xr9:uid="{00000000-0011-0000-FFFF-FFFF24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ראשון, 22.02-style 2" pivot="0" count="4" xr9:uid="{00000000-0011-0000-FFFF-FFFF25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ראשון, 22.02-style 3" pivot="0" count="4" xr9:uid="{00000000-0011-0000-FFFF-FFFF26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ראשון, 22.02-style 4" pivot="0" count="4" xr9:uid="{00000000-0011-0000-FFFF-FFFF27000000}">
      <tableStyleElement type="wholeTable" size="0" dxfId="34"/>
      <tableStyleElement type="headerRow" dxfId="37"/>
      <tableStyleElement type="firstRowStripe" dxfId="36"/>
      <tableStyleElement type="secondRowStripe" dxfId="35"/>
    </tableStyle>
    <tableStyle name="ראשון, 22.02-style 5" pivot="0" count="4" xr9:uid="{00000000-0011-0000-FFFF-FFFF28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ראשון, 22.02-style 6" pivot="0" count="4" xr9:uid="{00000000-0011-0000-FFFF-FFFF29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ראשון, 22.02-style 7" pivot="0" count="4" xr9:uid="{00000000-0011-0000-FFFF-FFFF2A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ראשון, 22.02-style 8" pivot="0" count="4" xr9:uid="{00000000-0011-0000-FFFF-FFFF2B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ראשון, 22.02-style 9" pivot="0" count="4" xr9:uid="{00000000-0011-0000-FFFF-FFFF2C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טלפונים חשובים-style" pivot="0" count="4" xr9:uid="{00000000-0011-0000-FFFF-FFFF2D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פרטים אישיים-style" pivot="0" count="4" xr9:uid="{00000000-0011-0000-FFFF-FFFF2E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סיור_בוקר_5" displayName="סיור_בוקר_5" ref="C5:F8">
  <tableColumns count="4">
    <tableColumn id="1" xr3:uid="{00000000-0010-0000-0000-000001000000}" name="שם:"/>
    <tableColumn id="2" xr3:uid="{00000000-0010-0000-0000-000002000000}" name="פלאפון:"/>
    <tableColumn id="3" xr3:uid="{00000000-0010-0000-0000-000003000000}" name="מ.א."/>
    <tableColumn id="4" xr3:uid="{00000000-0010-0000-0000-000004000000}" name="תפקיד:"/>
  </tableColumns>
  <tableStyleInfo name="דוגמא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כרמל_א_5" displayName="כרמל_א_5" ref="I5:L13">
  <tableColumns count="4">
    <tableColumn id="1" xr3:uid="{00000000-0010-0000-0100-000001000000}" name="שם:"/>
    <tableColumn id="2" xr3:uid="{00000000-0010-0000-0100-000002000000}" name="פלאפון:"/>
    <tableColumn id="3" xr3:uid="{00000000-0010-0000-0100-000003000000}" name="מ.א."/>
    <tableColumn id="4" xr3:uid="{00000000-0010-0000-0100-000004000000}" name="תפקיד:"/>
  </tableColumns>
  <tableStyleInfo name="דוגמא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חפק_5" displayName="חפק_5" ref="O5:R9">
  <tableColumns count="4">
    <tableColumn id="1" xr3:uid="{00000000-0010-0000-0200-000001000000}" name="שם:"/>
    <tableColumn id="2" xr3:uid="{00000000-0010-0000-0200-000002000000}" name="פלאפון:"/>
    <tableColumn id="3" xr3:uid="{00000000-0010-0000-0200-000003000000}" name="מ.א."/>
    <tableColumn id="4" xr3:uid="{00000000-0010-0000-0200-000004000000}" name="תפקיד:"/>
  </tableColumns>
  <tableStyleInfo name="דוגמא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טבלה2" displayName="טבלה2" ref="U5:X13">
  <tableColumns count="4">
    <tableColumn id="1" xr3:uid="{00000000-0010-0000-0300-000001000000}" name="שם:"/>
    <tableColumn id="2" xr3:uid="{00000000-0010-0000-0300-000002000000}" name="פלאפון:"/>
    <tableColumn id="3" xr3:uid="{00000000-0010-0000-0300-000003000000}" name="מ.א."/>
    <tableColumn id="4" xr3:uid="{00000000-0010-0000-0300-000004000000}" name="תפקיד:"/>
  </tableColumns>
  <tableStyleInfo name="דוגמא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סיור_ערב_5" displayName="סיור_ערב_5" ref="C12:F15">
  <tableColumns count="4">
    <tableColumn id="1" xr3:uid="{00000000-0010-0000-0400-000001000000}" name="שם:"/>
    <tableColumn id="2" xr3:uid="{00000000-0010-0000-0400-000002000000}" name="פלאפון:"/>
    <tableColumn id="3" xr3:uid="{00000000-0010-0000-0400-000003000000}" name="מ.א."/>
    <tableColumn id="4" xr3:uid="{00000000-0010-0000-0400-000004000000}" name="תפקיד:"/>
  </tableColumns>
  <tableStyleInfo name="דוגמא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טבלה4" displayName="טבלה4" ref="O14:R20">
  <tableColumns count="4">
    <tableColumn id="1" xr3:uid="{00000000-0010-0000-0500-000001000000}" name="שם:"/>
    <tableColumn id="2" xr3:uid="{00000000-0010-0000-0500-000002000000}" name="פלאפון:"/>
    <tableColumn id="3" xr3:uid="{00000000-0010-0000-0500-000003000000}" name="מ.א."/>
    <tableColumn id="4" xr3:uid="{00000000-0010-0000-0500-000004000000}" name="תפקיד:"/>
  </tableColumns>
  <tableStyleInfo name="דוגמא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כרמל_ב_5" displayName="כרמל_ב_5" ref="I17:L21">
  <tableColumns count="4">
    <tableColumn id="1" xr3:uid="{00000000-0010-0000-0600-000001000000}" name="שם:"/>
    <tableColumn id="2" xr3:uid="{00000000-0010-0000-0600-000002000000}" name="פלאפון:"/>
    <tableColumn id="3" xr3:uid="{00000000-0010-0000-0600-000003000000}" name="מ.א."/>
    <tableColumn id="4" xr3:uid="{00000000-0010-0000-0600-000004000000}" name="תפקיד:"/>
  </tableColumns>
  <tableStyleInfo name="דוגמא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טבלה1" displayName="טבלה1" ref="U18:X20">
  <tableColumns count="4">
    <tableColumn id="1" xr3:uid="{00000000-0010-0000-0700-000001000000}" name="שם:"/>
    <tableColumn id="2" xr3:uid="{00000000-0010-0000-0700-000002000000}" name="פלאפון:"/>
    <tableColumn id="3" xr3:uid="{00000000-0010-0000-0700-000003000000}" name="מ.א."/>
    <tableColumn id="4" xr3:uid="{00000000-0010-0000-0700-000004000000}" name="תפקיד:"/>
  </tableColumns>
  <tableStyleInfo name="דוגמא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סיור_לילה_5" displayName="סיור_לילה_5" ref="C19:F22">
  <tableColumns count="4">
    <tableColumn id="1" xr3:uid="{00000000-0010-0000-0800-000001000000}" name="שם:"/>
    <tableColumn id="2" xr3:uid="{00000000-0010-0000-0800-000002000000}" name="פלאפון:"/>
    <tableColumn id="3" xr3:uid="{00000000-0010-0000-0800-000003000000}" name="מ.א."/>
    <tableColumn id="4" xr3:uid="{00000000-0010-0000-0800-000004000000}" name="תפקיד:"/>
  </tableColumns>
  <tableStyleInfo name="דוגמא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סיור_בוקר_3" displayName="סיור_בוקר_3" ref="C5:F8">
  <tableColumns count="4">
    <tableColumn id="1" xr3:uid="{00000000-0010-0000-1B00-000001000000}" name="שם:"/>
    <tableColumn id="2" xr3:uid="{00000000-0010-0000-1B00-000002000000}" name="פלאפון:"/>
    <tableColumn id="3" xr3:uid="{00000000-0010-0000-1B00-000003000000}" name="מ.א."/>
    <tableColumn id="4" xr3:uid="{00000000-0010-0000-1B00-000004000000}" name="תפקיד:"/>
  </tableColumns>
  <tableStyleInfo name="שבת, 21.02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כרמל_א_3" displayName="כרמל_א_3" ref="I5:L13">
  <tableColumns count="4">
    <tableColumn id="1" xr3:uid="{00000000-0010-0000-1C00-000001000000}" name="שם:"/>
    <tableColumn id="2" xr3:uid="{00000000-0010-0000-1C00-000002000000}" name="פלאפון:"/>
    <tableColumn id="3" xr3:uid="{00000000-0010-0000-1C00-000003000000}" name="מ.א."/>
    <tableColumn id="4" xr3:uid="{00000000-0010-0000-1C00-000004000000}" name="תפקיד:"/>
  </tableColumns>
  <tableStyleInfo name="שבת, 21.02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חפק_3" displayName="חפק_3" ref="O5:R9">
  <tableColumns count="4">
    <tableColumn id="1" xr3:uid="{00000000-0010-0000-1D00-000001000000}" name="שם:"/>
    <tableColumn id="2" xr3:uid="{00000000-0010-0000-1D00-000002000000}" name="פלאפון:"/>
    <tableColumn id="3" xr3:uid="{00000000-0010-0000-1D00-000003000000}" name="מ.א."/>
    <tableColumn id="4" xr3:uid="{00000000-0010-0000-1D00-000004000000}" name="תפקיד:"/>
  </tableColumns>
  <tableStyleInfo name="שבת, 21.02-style 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טבלה2_4" displayName="טבלה2_4" ref="U5:X13">
  <tableColumns count="4">
    <tableColumn id="1" xr3:uid="{00000000-0010-0000-1E00-000001000000}" name="שם:"/>
    <tableColumn id="2" xr3:uid="{00000000-0010-0000-1E00-000002000000}" name="פלאפון:"/>
    <tableColumn id="3" xr3:uid="{00000000-0010-0000-1E00-000003000000}" name="מ.א."/>
    <tableColumn id="4" xr3:uid="{00000000-0010-0000-1E00-000004000000}" name="תפקיד:"/>
  </tableColumns>
  <tableStyleInfo name="שבת, 21.02-style 4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סיור_ערב_3" displayName="סיור_ערב_3" ref="C12:F15">
  <tableColumns count="4">
    <tableColumn id="1" xr3:uid="{00000000-0010-0000-1F00-000001000000}" name="שם:"/>
    <tableColumn id="2" xr3:uid="{00000000-0010-0000-1F00-000002000000}" name="פלאפון:"/>
    <tableColumn id="3" xr3:uid="{00000000-0010-0000-1F00-000003000000}" name="מ.א."/>
    <tableColumn id="4" xr3:uid="{00000000-0010-0000-1F00-000004000000}" name="תפקיד:"/>
  </tableColumns>
  <tableStyleInfo name="שבת, 21.02-style 5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טבלה4_4" displayName="טבלה4_4" ref="O14:R20">
  <tableColumns count="4">
    <tableColumn id="1" xr3:uid="{00000000-0010-0000-2000-000001000000}" name="שם:"/>
    <tableColumn id="2" xr3:uid="{00000000-0010-0000-2000-000002000000}" name="פלאפון:"/>
    <tableColumn id="3" xr3:uid="{00000000-0010-0000-2000-000003000000}" name="מ.א."/>
    <tableColumn id="4" xr3:uid="{00000000-0010-0000-2000-000004000000}" name="תפקיד:"/>
  </tableColumns>
  <tableStyleInfo name="שבת, 21.02-style 6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כרמל_ב_3" displayName="כרמל_ב_3" ref="I17:L21">
  <tableColumns count="4">
    <tableColumn id="1" xr3:uid="{00000000-0010-0000-2100-000001000000}" name="שם:"/>
    <tableColumn id="2" xr3:uid="{00000000-0010-0000-2100-000002000000}" name="פלאפון:"/>
    <tableColumn id="3" xr3:uid="{00000000-0010-0000-2100-000003000000}" name="מ.א."/>
    <tableColumn id="4" xr3:uid="{00000000-0010-0000-2100-000004000000}" name="תפקיד:"/>
  </tableColumns>
  <tableStyleInfo name="שבת, 21.02-style 7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טבלה1_4" displayName="טבלה1_4" ref="U18:X20">
  <tableColumns count="4">
    <tableColumn id="1" xr3:uid="{00000000-0010-0000-2200-000001000000}" name="שם:"/>
    <tableColumn id="2" xr3:uid="{00000000-0010-0000-2200-000002000000}" name="פלאפון:"/>
    <tableColumn id="3" xr3:uid="{00000000-0010-0000-2200-000003000000}" name="מ.א."/>
    <tableColumn id="4" xr3:uid="{00000000-0010-0000-2200-000004000000}" name="תפקיד:"/>
  </tableColumns>
  <tableStyleInfo name="שבת, 21.02-style 8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סיור_לילה_3" displayName="סיור_לילה_3" ref="C19:F22">
  <tableColumns count="4">
    <tableColumn id="1" xr3:uid="{00000000-0010-0000-2300-000001000000}" name="שם:"/>
    <tableColumn id="2" xr3:uid="{00000000-0010-0000-2300-000002000000}" name="פלאפון:"/>
    <tableColumn id="3" xr3:uid="{00000000-0010-0000-2300-000003000000}" name="מ.א."/>
    <tableColumn id="4" xr3:uid="{00000000-0010-0000-2300-000004000000}" name="תפקיד:"/>
  </tableColumns>
  <tableStyleInfo name="שבת, 21.02-style 9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סיור_בוקר_4" displayName="סיור_בוקר_4" ref="C5:F8">
  <tableColumns count="4">
    <tableColumn id="1" xr3:uid="{00000000-0010-0000-2400-000001000000}" name="שם:"/>
    <tableColumn id="2" xr3:uid="{00000000-0010-0000-2400-000002000000}" name="פלאפון:"/>
    <tableColumn id="3" xr3:uid="{00000000-0010-0000-2400-000003000000}" name="מ.א."/>
    <tableColumn id="4" xr3:uid="{00000000-0010-0000-2400-000004000000}" name="תפקיד:"/>
  </tableColumns>
  <tableStyleInfo name="ראשון, 22.02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כרמל_א_4" displayName="כרמל_א_4" ref="I5:L13">
  <tableColumns count="4">
    <tableColumn id="1" xr3:uid="{00000000-0010-0000-2500-000001000000}" name="שם:"/>
    <tableColumn id="2" xr3:uid="{00000000-0010-0000-2500-000002000000}" name="פלאפון:"/>
    <tableColumn id="3" xr3:uid="{00000000-0010-0000-2500-000003000000}" name="מ.א."/>
    <tableColumn id="4" xr3:uid="{00000000-0010-0000-2500-000004000000}" name="תפקיד:"/>
  </tableColumns>
  <tableStyleInfo name="ראשון, 22.02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חפק_4" displayName="חפק_4" ref="O5:R9">
  <tableColumns count="4">
    <tableColumn id="1" xr3:uid="{00000000-0010-0000-2600-000001000000}" name="שם:"/>
    <tableColumn id="2" xr3:uid="{00000000-0010-0000-2600-000002000000}" name="פלאפון:"/>
    <tableColumn id="3" xr3:uid="{00000000-0010-0000-2600-000003000000}" name="מ.א."/>
    <tableColumn id="4" xr3:uid="{00000000-0010-0000-2600-000004000000}" name="תפקיד:"/>
  </tableColumns>
  <tableStyleInfo name="ראשון, 22.02-style 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טבלה2_5" displayName="טבלה2_5" ref="U5:X13">
  <tableColumns count="4">
    <tableColumn id="1" xr3:uid="{00000000-0010-0000-2700-000001000000}" name="שם:"/>
    <tableColumn id="2" xr3:uid="{00000000-0010-0000-2700-000002000000}" name="פלאפון:"/>
    <tableColumn id="3" xr3:uid="{00000000-0010-0000-2700-000003000000}" name="מ.א."/>
    <tableColumn id="4" xr3:uid="{00000000-0010-0000-2700-000004000000}" name="תפקיד:"/>
  </tableColumns>
  <tableStyleInfo name="ראשון, 22.02-style 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סיור_ערב_4" displayName="סיור_ערב_4" ref="C12:F15">
  <tableColumns count="4">
    <tableColumn id="1" xr3:uid="{00000000-0010-0000-2800-000001000000}" name="שם:"/>
    <tableColumn id="2" xr3:uid="{00000000-0010-0000-2800-000002000000}" name="פלאפון:"/>
    <tableColumn id="3" xr3:uid="{00000000-0010-0000-2800-000003000000}" name="מ.א."/>
    <tableColumn id="4" xr3:uid="{00000000-0010-0000-2800-000004000000}" name="תפקיד:"/>
  </tableColumns>
  <tableStyleInfo name="ראשון, 22.02-style 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טבלה4_5" displayName="טבלה4_5" ref="O14:R20">
  <tableColumns count="4">
    <tableColumn id="1" xr3:uid="{00000000-0010-0000-2900-000001000000}" name="שם:"/>
    <tableColumn id="2" xr3:uid="{00000000-0010-0000-2900-000002000000}" name="פלאפון:"/>
    <tableColumn id="3" xr3:uid="{00000000-0010-0000-2900-000003000000}" name="מ.א."/>
    <tableColumn id="4" xr3:uid="{00000000-0010-0000-2900-000004000000}" name="תפקיד:"/>
  </tableColumns>
  <tableStyleInfo name="ראשון, 22.02-style 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כרמל_ב_4" displayName="כרמל_ב_4" ref="I17:L21">
  <tableColumns count="4">
    <tableColumn id="1" xr3:uid="{00000000-0010-0000-2A00-000001000000}" name="שם:"/>
    <tableColumn id="2" xr3:uid="{00000000-0010-0000-2A00-000002000000}" name="פלאפון:"/>
    <tableColumn id="3" xr3:uid="{00000000-0010-0000-2A00-000003000000}" name="מ.א."/>
    <tableColumn id="4" xr3:uid="{00000000-0010-0000-2A00-000004000000}" name="תפקיד:"/>
  </tableColumns>
  <tableStyleInfo name="ראשון, 22.02-style 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טבלה1_5" displayName="טבלה1_5" ref="U18:X20">
  <tableColumns count="4">
    <tableColumn id="1" xr3:uid="{00000000-0010-0000-2B00-000001000000}" name="שם:"/>
    <tableColumn id="2" xr3:uid="{00000000-0010-0000-2B00-000002000000}" name="פלאפון:"/>
    <tableColumn id="3" xr3:uid="{00000000-0010-0000-2B00-000003000000}" name="מ.א."/>
    <tableColumn id="4" xr3:uid="{00000000-0010-0000-2B00-000004000000}" name="תפקיד:"/>
  </tableColumns>
  <tableStyleInfo name="ראשון, 22.02-style 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סיור_לילה_4" displayName="סיור_לילה_4" ref="C19:F22">
  <tableColumns count="4">
    <tableColumn id="1" xr3:uid="{00000000-0010-0000-2C00-000001000000}" name="שם:"/>
    <tableColumn id="2" xr3:uid="{00000000-0010-0000-2C00-000002000000}" name="פלאפון:"/>
    <tableColumn id="3" xr3:uid="{00000000-0010-0000-2C00-000003000000}" name="מ.א."/>
    <tableColumn id="4" xr3:uid="{00000000-0010-0000-2C00-000004000000}" name="תפקיד:"/>
  </tableColumns>
  <tableStyleInfo name="ראשון, 22.02-style 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טלפונים" displayName="טלפונים" ref="C3:D39">
  <tableColumns count="2">
    <tableColumn id="1" xr3:uid="{00000000-0010-0000-2D00-000001000000}" name="שם:"/>
    <tableColumn id="2" xr3:uid="{00000000-0010-0000-2D00-000002000000}" name="טלפון:"/>
  </tableColumns>
  <tableStyleInfo name="טלפונים חשובים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פרטים_אישיים" displayName="פרטים_אישיים" ref="C3:G90">
  <tableColumns count="5">
    <tableColumn id="1" xr3:uid="{00000000-0010-0000-2E00-000001000000}" name="מחלקה"/>
    <tableColumn id="2" xr3:uid="{00000000-0010-0000-2E00-000002000000}" name="שם"/>
    <tableColumn id="3" xr3:uid="{00000000-0010-0000-2E00-000003000000}" name="פלאפון"/>
    <tableColumn id="4" xr3:uid="{00000000-0010-0000-2E00-000004000000}" name="מ.א."/>
    <tableColumn id="5" xr3:uid="{00000000-0010-0000-2E00-000005000000}" name="תפקיד"/>
  </tableColumns>
  <tableStyleInfo name="פרטים אישיים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rightToLeft="1" tabSelected="1" zoomScale="70" zoomScaleNormal="70" workbookViewId="0">
      <selection activeCell="D10" sqref="D10"/>
    </sheetView>
  </sheetViews>
  <sheetFormatPr defaultColWidth="12.6328125" defaultRowHeight="15.75" customHeight="1"/>
  <cols>
    <col min="3" max="3" width="20.6328125" customWidth="1"/>
  </cols>
  <sheetData>
    <row r="1" spans="1:26" ht="12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5">
      <c r="A4" s="1"/>
      <c r="B4" s="1"/>
      <c r="C4" s="50" t="s">
        <v>0</v>
      </c>
      <c r="D4" s="48"/>
      <c r="E4" s="1"/>
      <c r="F4" s="1"/>
      <c r="G4" s="1"/>
      <c r="H4" s="2"/>
      <c r="I4" s="47" t="s">
        <v>1</v>
      </c>
      <c r="J4" s="48"/>
      <c r="K4" s="2"/>
      <c r="L4" s="2"/>
      <c r="M4" s="1"/>
      <c r="N4" s="1"/>
      <c r="O4" s="51" t="s">
        <v>2</v>
      </c>
      <c r="P4" s="48"/>
      <c r="Q4" s="1"/>
      <c r="R4" s="1"/>
      <c r="S4" s="1"/>
      <c r="T4" s="2"/>
      <c r="U4" s="52" t="s">
        <v>3</v>
      </c>
      <c r="V4" s="48"/>
      <c r="W4" s="2"/>
      <c r="X4" s="2"/>
      <c r="Y4" s="1"/>
      <c r="Z4" s="1"/>
    </row>
    <row r="5" spans="1:26" ht="22.5" customHeight="1">
      <c r="A5" s="1"/>
      <c r="B5" s="1"/>
      <c r="C5" s="3" t="s">
        <v>4</v>
      </c>
      <c r="D5" s="3" t="s">
        <v>5</v>
      </c>
      <c r="E5" s="3" t="s">
        <v>6</v>
      </c>
      <c r="F5" s="3" t="s">
        <v>7</v>
      </c>
      <c r="G5" s="1"/>
      <c r="H5" s="2"/>
      <c r="I5" s="4" t="s">
        <v>4</v>
      </c>
      <c r="J5" s="4" t="s">
        <v>5</v>
      </c>
      <c r="K5" s="4" t="s">
        <v>6</v>
      </c>
      <c r="L5" s="4" t="s">
        <v>7</v>
      </c>
      <c r="M5" s="1"/>
      <c r="N5" s="1"/>
      <c r="O5" s="3" t="s">
        <v>4</v>
      </c>
      <c r="P5" s="3" t="s">
        <v>5</v>
      </c>
      <c r="Q5" s="3" t="s">
        <v>6</v>
      </c>
      <c r="R5" s="3" t="s">
        <v>7</v>
      </c>
      <c r="S5" s="1"/>
      <c r="T5" s="2"/>
      <c r="U5" s="4" t="s">
        <v>4</v>
      </c>
      <c r="V5" s="4" t="s">
        <v>5</v>
      </c>
      <c r="W5" s="4" t="s">
        <v>6</v>
      </c>
      <c r="X5" s="4" t="s">
        <v>7</v>
      </c>
      <c r="Y5" s="1"/>
      <c r="Z5" s="1"/>
    </row>
    <row r="6" spans="1:26" ht="22.5" customHeight="1">
      <c r="A6" s="1"/>
      <c r="B6" s="1"/>
      <c r="C6" s="5"/>
      <c r="D6" s="6" t="str">
        <f>_xlfn.SINGLE(_xlfn.IFNA(VLOOKUP($C6,'פרטים אישיים'!$D$4:$G$100,2,FALSE),""))</f>
        <v/>
      </c>
      <c r="E6" s="7" t="str">
        <f>_xlfn.SINGLE(_xlfn.IFNA(VLOOKUP($C6,'פרטים אישיים'!$D$4:$G$100,3,FALSE),""))</f>
        <v/>
      </c>
      <c r="F6" s="8" t="str">
        <f>_xlfn.SINGLE(_xlfn.IFNA(VLOOKUP($C6,'פרטים אישיים'!$D$4:$G$100,4,FALSE),""))</f>
        <v/>
      </c>
      <c r="G6" s="1"/>
      <c r="H6" s="2"/>
      <c r="I6" s="5"/>
      <c r="J6" s="6" t="str">
        <f>_xlfn.SINGLE(_xlfn.IFNA(VLOOKUP($I6,'פרטים אישיים'!$D$4:$G$100,2,FALSE),""))</f>
        <v/>
      </c>
      <c r="K6" s="7" t="str">
        <f>_xlfn.SINGLE(_xlfn.IFNA(VLOOKUP($I6,'פרטים אישיים'!$D$4:$G$100,3,FALSE),""))</f>
        <v/>
      </c>
      <c r="L6" s="8" t="str">
        <f>_xlfn.SINGLE(_xlfn.IFNA(VLOOKUP($I6,'פרטים אישיים'!$D$4:$G$100,4,FALSE),""))</f>
        <v/>
      </c>
      <c r="M6" s="1"/>
      <c r="N6" s="1"/>
      <c r="O6" s="5"/>
      <c r="P6" s="6" t="str">
        <f>_xlfn.SINGLE(_xlfn.IFNA(VLOOKUP($O6,'פרטים אישיים'!$D$4:$G$100,2,FALSE),""))</f>
        <v/>
      </c>
      <c r="Q6" s="7" t="str">
        <f>_xlfn.SINGLE(_xlfn.IFNA(VLOOKUP($O6,'פרטים אישיים'!$D$4:$G$100,3,FALSE),""))</f>
        <v/>
      </c>
      <c r="R6" s="8" t="str">
        <f>_xlfn.SINGLE(_xlfn.IFNA(VLOOKUP($O6,'פרטים אישיים'!$D$4:$G$100,4,FALSE),""))</f>
        <v/>
      </c>
      <c r="S6" s="1"/>
      <c r="T6" s="9">
        <v>46082</v>
      </c>
      <c r="U6" s="5"/>
      <c r="V6" s="6" t="str">
        <f>_xlfn.SINGLE(_xlfn.IFNA(VLOOKUP($U6,'פרטים אישיים'!$D$4:$G$100,2,FALSE),""))</f>
        <v/>
      </c>
      <c r="W6" s="7" t="str">
        <f>_xlfn.SINGLE(_xlfn.IFNA(VLOOKUP($U6,'פרטים אישיים'!$D$4:$G$100,3,FALSE),""))</f>
        <v/>
      </c>
      <c r="X6" s="8" t="str">
        <f>_xlfn.SINGLE(_xlfn.IFNA(VLOOKUP($U6,'פרטים אישיים'!$D$4:$G$100,4,FALSE),""))</f>
        <v/>
      </c>
      <c r="Y6" s="1"/>
      <c r="Z6" s="1"/>
    </row>
    <row r="7" spans="1:26" ht="22.5" customHeight="1">
      <c r="A7" s="1"/>
      <c r="B7" s="1"/>
      <c r="C7" s="5"/>
      <c r="D7" s="6" t="str">
        <f>_xlfn.SINGLE(_xlfn.IFNA(VLOOKUP($C7,'פרטים אישיים'!$D$4:$G$100,2,FALSE),""))</f>
        <v/>
      </c>
      <c r="E7" s="7" t="str">
        <f>_xlfn.SINGLE(_xlfn.IFNA(VLOOKUP($C7,'פרטים אישיים'!$D$4:$G$100,3,FALSE),""))</f>
        <v/>
      </c>
      <c r="F7" s="8" t="str">
        <f>_xlfn.SINGLE(_xlfn.IFNA(VLOOKUP($C7,'פרטים אישיים'!$D$4:$G$100,4,FALSE),""))</f>
        <v/>
      </c>
      <c r="G7" s="1"/>
      <c r="H7" s="2"/>
      <c r="I7" s="5"/>
      <c r="J7" s="6" t="str">
        <f>_xlfn.SINGLE(_xlfn.IFNA(VLOOKUP($I7,'פרטים אישיים'!$D$4:$G$100,2,FALSE),""))</f>
        <v/>
      </c>
      <c r="K7" s="7" t="str">
        <f>_xlfn.SINGLE(_xlfn.IFNA(VLOOKUP($I7,'פרטים אישיים'!$D$4:$G$100,3,FALSE),""))</f>
        <v/>
      </c>
      <c r="L7" s="8" t="str">
        <f>_xlfn.SINGLE(_xlfn.IFNA(VLOOKUP($I7,'פרטים אישיים'!$D$4:$G$100,4,FALSE),""))</f>
        <v/>
      </c>
      <c r="M7" s="1"/>
      <c r="N7" s="1"/>
      <c r="O7" s="10"/>
      <c r="P7" s="6" t="str">
        <f>_xlfn.SINGLE(_xlfn.IFNA(VLOOKUP($O7,'פרטים אישיים'!$D$4:$G$100,2,FALSE),""))</f>
        <v/>
      </c>
      <c r="Q7" s="7" t="str">
        <f>_xlfn.SINGLE(_xlfn.IFNA(VLOOKUP($O7,'פרטים אישיים'!$D$4:$G$100,3,FALSE),""))</f>
        <v/>
      </c>
      <c r="R7" s="8" t="str">
        <f>_xlfn.SINGLE(_xlfn.IFNA(VLOOKUP($O7,'פרטים אישיים'!$D$4:$G$100,4,FALSE),""))</f>
        <v/>
      </c>
      <c r="S7" s="1"/>
      <c r="T7" s="9">
        <v>46145</v>
      </c>
      <c r="U7" s="5"/>
      <c r="V7" s="6" t="str">
        <f>_xlfn.SINGLE(_xlfn.IFNA(VLOOKUP($U7,'פרטים אישיים'!$D$4:$G$100,2,FALSE),""))</f>
        <v/>
      </c>
      <c r="W7" s="7" t="str">
        <f>_xlfn.SINGLE(_xlfn.IFNA(VLOOKUP($U7,'פרטים אישיים'!$D$4:$G$100,3,FALSE),""))</f>
        <v/>
      </c>
      <c r="X7" s="8" t="str">
        <f>_xlfn.SINGLE(_xlfn.IFNA(VLOOKUP($U7,'פרטים אישיים'!$D$4:$G$100,4,FALSE),""))</f>
        <v/>
      </c>
      <c r="Y7" s="1"/>
      <c r="Z7" s="1"/>
    </row>
    <row r="8" spans="1:26" ht="22.5" customHeight="1">
      <c r="A8" s="1"/>
      <c r="B8" s="1"/>
      <c r="C8" s="11"/>
      <c r="D8" s="12" t="str">
        <f>_xlfn.SINGLE(_xlfn.IFNA(VLOOKUP($C8,'פרטים אישיים'!$D$4:$G$100,2,FALSE),""))</f>
        <v/>
      </c>
      <c r="E8" s="13" t="str">
        <f>_xlfn.SINGLE(_xlfn.IFNA(VLOOKUP($C8,'פרטים אישיים'!$D$4:$G$100,3,FALSE),""))</f>
        <v/>
      </c>
      <c r="F8" s="14" t="str">
        <f>_xlfn.SINGLE(_xlfn.IFNA(VLOOKUP($C8,'פרטים אישיים'!$D$4:$G$100,4,FALSE),""))</f>
        <v/>
      </c>
      <c r="G8" s="1"/>
      <c r="H8" s="2"/>
      <c r="I8" s="5"/>
      <c r="J8" s="6" t="str">
        <f>_xlfn.SINGLE(_xlfn.IFNA(VLOOKUP($I8,'פרטים אישיים'!$D$4:$G$100,2,FALSE),""))</f>
        <v/>
      </c>
      <c r="K8" s="7" t="str">
        <f>_xlfn.SINGLE(_xlfn.IFNA(VLOOKUP($I8,'פרטים אישיים'!$D$4:$G$100,3,FALSE),""))</f>
        <v/>
      </c>
      <c r="L8" s="8" t="str">
        <f>_xlfn.SINGLE(_xlfn.IFNA(VLOOKUP($I8,'פרטים אישיים'!$D$4:$G$100,4,FALSE),""))</f>
        <v/>
      </c>
      <c r="M8" s="1"/>
      <c r="N8" s="1"/>
      <c r="O8" s="15"/>
      <c r="P8" s="16" t="str">
        <f>_xlfn.SINGLE(_xlfn.IFNA(VLOOKUP($O8,'פרטים אישיים'!$D$4:$G$100,2,FALSE),""))</f>
        <v/>
      </c>
      <c r="Q8" s="7" t="str">
        <f>_xlfn.SINGLE(_xlfn.IFNA(VLOOKUP($O8,'פרטים אישיים'!$D$4:$G$100,3,FALSE),""))</f>
        <v/>
      </c>
      <c r="R8" s="8" t="str">
        <f>_xlfn.SINGLE(_xlfn.IFNA(VLOOKUP($O8,'פרטים אישיים'!$D$4:$G$100,4,FALSE),""))</f>
        <v/>
      </c>
      <c r="S8" s="1"/>
      <c r="T8" s="53">
        <v>46208</v>
      </c>
      <c r="U8" s="5"/>
      <c r="V8" s="6" t="str">
        <f>_xlfn.SINGLE(_xlfn.IFNA(VLOOKUP($U8,'פרטים אישיים'!$D$4:$G$100,2,FALSE),""))</f>
        <v/>
      </c>
      <c r="W8" s="7" t="str">
        <f>_xlfn.SINGLE(_xlfn.IFNA(VLOOKUP($U8,'פרטים אישיים'!$D$4:$G$100,3,FALSE),""))</f>
        <v/>
      </c>
      <c r="X8" s="8" t="str">
        <f>_xlfn.SINGLE(_xlfn.IFNA(VLOOKUP($U8,'פרטים אישיים'!$D$4:$G$100,4,FALSE),""))</f>
        <v/>
      </c>
      <c r="Y8" s="1"/>
      <c r="Z8" s="1"/>
    </row>
    <row r="9" spans="1:26" ht="22.5" customHeight="1">
      <c r="A9" s="1"/>
      <c r="B9" s="1"/>
      <c r="C9" s="1"/>
      <c r="D9" s="1"/>
      <c r="E9" s="1"/>
      <c r="F9" s="1"/>
      <c r="G9" s="1"/>
      <c r="H9" s="3"/>
      <c r="I9" s="5"/>
      <c r="J9" s="6" t="str">
        <f>_xlfn.SINGLE(_xlfn.IFNA(VLOOKUP($I9,'פרטים אישיים'!$D$4:$G$100,2,FALSE),""))</f>
        <v/>
      </c>
      <c r="K9" s="7" t="str">
        <f>_xlfn.SINGLE(_xlfn.IFNA(VLOOKUP($I9,'פרטים אישיים'!$D$4:$G$100,3,FALSE),""))</f>
        <v/>
      </c>
      <c r="L9" s="8" t="str">
        <f>_xlfn.SINGLE(_xlfn.IFNA(VLOOKUP($I9,'פרטים אישיים'!$D$4:$G$100,4,FALSE),""))</f>
        <v/>
      </c>
      <c r="M9" s="1"/>
      <c r="N9" s="1"/>
      <c r="O9" s="17"/>
      <c r="P9" s="12" t="str">
        <f>_xlfn.SINGLE(_xlfn.IFNA(VLOOKUP($O9,'פרטים אישיים'!$D$4:$G$100,2,FALSE),""))</f>
        <v/>
      </c>
      <c r="Q9" s="13" t="str">
        <f>_xlfn.SINGLE(_xlfn.IFNA(VLOOKUP($O9,'פרטים אישיים'!$D$4:$G$100,3,FALSE),""))</f>
        <v/>
      </c>
      <c r="R9" s="14" t="str">
        <f>_xlfn.SINGLE(_xlfn.IFNA(VLOOKUP($O9,'פרטים אישיים'!$D$4:$G$100,4,FALSE),""))</f>
        <v/>
      </c>
      <c r="S9" s="1"/>
      <c r="T9" s="48"/>
      <c r="U9" s="5"/>
      <c r="V9" s="6" t="str">
        <f>_xlfn.SINGLE(_xlfn.IFNA(VLOOKUP($U9,'פרטים אישיים'!$D$4:$G$100,2,FALSE),""))</f>
        <v/>
      </c>
      <c r="W9" s="7" t="str">
        <f>_xlfn.SINGLE(_xlfn.IFNA(VLOOKUP($U9,'פרטים אישיים'!$D$4:$G$100,3,FALSE),""))</f>
        <v/>
      </c>
      <c r="X9" s="8" t="str">
        <f>_xlfn.SINGLE(_xlfn.IFNA(VLOOKUP($U9,'פרטים אישיים'!$D$4:$G$100,4,FALSE),""))</f>
        <v/>
      </c>
      <c r="Y9" s="1"/>
      <c r="Z9" s="1"/>
    </row>
    <row r="10" spans="1:26" ht="22.5" customHeight="1">
      <c r="A10" s="1"/>
      <c r="B10" s="1"/>
      <c r="C10" s="1"/>
      <c r="D10" s="1"/>
      <c r="E10" s="1"/>
      <c r="F10" s="1"/>
      <c r="G10" s="1"/>
      <c r="H10" s="3"/>
      <c r="I10" s="5"/>
      <c r="J10" s="6" t="str">
        <f>_xlfn.SINGLE(_xlfn.IFNA(VLOOKUP($I10,'פרטים אישיים'!$D$4:$G$100,2,FALSE),""))</f>
        <v/>
      </c>
      <c r="K10" s="7" t="str">
        <f>_xlfn.SINGLE(_xlfn.IFNA(VLOOKUP($I10,'פרטים אישיים'!$D$4:$G$100,3,FALSE),""))</f>
        <v/>
      </c>
      <c r="L10" s="8" t="str">
        <f>_xlfn.SINGLE(_xlfn.IFNA(VLOOKUP($I10,'פרטים אישיים'!$D$4:$G$100,4,FALSE),""))</f>
        <v/>
      </c>
      <c r="M10" s="1"/>
      <c r="N10" s="1"/>
      <c r="O10" s="1"/>
      <c r="P10" s="1"/>
      <c r="Q10" s="1"/>
      <c r="R10" s="1"/>
      <c r="S10" s="18" t="s">
        <v>8</v>
      </c>
      <c r="T10" s="3" t="s">
        <v>9</v>
      </c>
      <c r="U10" s="5"/>
      <c r="V10" s="6" t="str">
        <f>_xlfn.SINGLE(_xlfn.IFNA(VLOOKUP($U10,'פרטים אישיים'!$D$4:$G$100,2,FALSE),""))</f>
        <v/>
      </c>
      <c r="W10" s="7" t="str">
        <f>_xlfn.SINGLE(_xlfn.IFNA(VLOOKUP($U10,'פרטים אישיים'!$D$4:$G$100,3,FALSE),""))</f>
        <v/>
      </c>
      <c r="X10" s="8" t="str">
        <f>_xlfn.SINGLE(_xlfn.IFNA(VLOOKUP($U10,'פרטים אישיים'!$D$4:$G$100,4,FALSE),""))</f>
        <v/>
      </c>
      <c r="Y10" s="1"/>
      <c r="Z10" s="1"/>
    </row>
    <row r="11" spans="1:26" ht="22.5" customHeight="1">
      <c r="A11" s="1"/>
      <c r="B11" s="1"/>
      <c r="C11" s="50" t="s">
        <v>10</v>
      </c>
      <c r="D11" s="48"/>
      <c r="E11" s="1"/>
      <c r="F11" s="1"/>
      <c r="G11" s="1"/>
      <c r="H11" s="3"/>
      <c r="I11" s="5"/>
      <c r="J11" s="6" t="str">
        <f>_xlfn.SINGLE(_xlfn.IFNA(VLOOKUP($I11,'פרטים אישיים'!$D$4:$G$100,2,FALSE),""))</f>
        <v/>
      </c>
      <c r="K11" s="7" t="str">
        <f>_xlfn.SINGLE(_xlfn.IFNA(VLOOKUP($I11,'פרטים אישיים'!$D$4:$G$100,3,FALSE),""))</f>
        <v/>
      </c>
      <c r="L11" s="8" t="str">
        <f>_xlfn.SINGLE(_xlfn.IFNA(VLOOKUP($I11,'פרטים אישיים'!$D$4:$G$100,4,FALSE),""))</f>
        <v/>
      </c>
      <c r="M11" s="1"/>
      <c r="N11" s="1"/>
      <c r="O11" s="1"/>
      <c r="P11" s="1"/>
      <c r="Q11" s="1"/>
      <c r="R11" s="1"/>
      <c r="S11" s="1"/>
      <c r="T11" s="19">
        <v>46272</v>
      </c>
      <c r="U11" s="5"/>
      <c r="V11" s="6" t="str">
        <f>_xlfn.SINGLE(_xlfn.IFNA(VLOOKUP($U11,'פרטים אישיים'!$D$4:$G$100,2,FALSE),""))</f>
        <v/>
      </c>
      <c r="W11" s="7" t="str">
        <f>_xlfn.SINGLE(_xlfn.IFNA(VLOOKUP($U11,'פרטים אישיים'!$D$4:$G$100,3,FALSE),""))</f>
        <v/>
      </c>
      <c r="X11" s="8" t="str">
        <f>_xlfn.SINGLE(_xlfn.IFNA(VLOOKUP($U11,'פרטים אישיים'!$D$4:$G$100,4,FALSE),""))</f>
        <v/>
      </c>
      <c r="Y11" s="1"/>
      <c r="Z11" s="1"/>
    </row>
    <row r="12" spans="1:26" ht="22.5" customHeight="1">
      <c r="A12" s="1"/>
      <c r="B12" s="1"/>
      <c r="C12" s="3" t="s">
        <v>4</v>
      </c>
      <c r="D12" s="3" t="s">
        <v>5</v>
      </c>
      <c r="E12" s="3" t="s">
        <v>6</v>
      </c>
      <c r="F12" s="3" t="s">
        <v>7</v>
      </c>
      <c r="G12" s="1"/>
      <c r="H12" s="3"/>
      <c r="I12" s="5"/>
      <c r="J12" s="6" t="str">
        <f>_xlfn.SINGLE(_xlfn.IFNA(VLOOKUP($I12,'פרטים אישיים'!$D$4:$G$100,2,FALSE),""))</f>
        <v/>
      </c>
      <c r="K12" s="7" t="str">
        <f>_xlfn.SINGLE(_xlfn.IFNA(VLOOKUP($I12,'פרטים אישיים'!$D$4:$G$100,3,FALSE),""))</f>
        <v/>
      </c>
      <c r="L12" s="8" t="str">
        <f>_xlfn.SINGLE(_xlfn.IFNA(VLOOKUP($I12,'פרטים אישיים'!$D$4:$G$100,4,FALSE),""))</f>
        <v/>
      </c>
      <c r="M12" s="1"/>
      <c r="O12" s="1"/>
      <c r="P12" s="1"/>
      <c r="Q12" s="1"/>
      <c r="R12" s="1"/>
      <c r="S12" s="1"/>
      <c r="T12" s="19">
        <v>46335</v>
      </c>
      <c r="U12" s="5"/>
      <c r="V12" s="6" t="str">
        <f>_xlfn.SINGLE(_xlfn.IFNA(VLOOKUP($U12,'פרטים אישיים'!$D$4:$G$100,2,FALSE),""))</f>
        <v/>
      </c>
      <c r="W12" s="7" t="str">
        <f>_xlfn.SINGLE(_xlfn.IFNA(VLOOKUP($U12,'פרטים אישיים'!$D$4:$G$100,3,FALSE),""))</f>
        <v/>
      </c>
      <c r="X12" s="8" t="str">
        <f>_xlfn.SINGLE(_xlfn.IFNA(VLOOKUP($U12,'פרטים אישיים'!$D$4:$G$100,4,FALSE),""))</f>
        <v/>
      </c>
      <c r="Y12" s="1"/>
      <c r="Z12" s="1"/>
    </row>
    <row r="13" spans="1:26" ht="22.5" customHeight="1">
      <c r="A13" s="1"/>
      <c r="B13" s="1"/>
      <c r="C13" s="5"/>
      <c r="D13" s="6" t="str">
        <f>_xlfn.SINGLE(_xlfn.IFNA(VLOOKUP($C13,'פרטים אישיים'!$D$4:$G$100,2,FALSE),""))</f>
        <v/>
      </c>
      <c r="E13" s="7" t="str">
        <f>_xlfn.SINGLE(_xlfn.IFNA(VLOOKUP($C13,'פרטים אישיים'!$D$4:$G$100,3,FALSE),""))</f>
        <v/>
      </c>
      <c r="F13" s="8" t="str">
        <f>_xlfn.SINGLE(_xlfn.IFNA(VLOOKUP($C13,'פרטים אישיים'!$D$4:$G$100,4,FALSE),""))</f>
        <v/>
      </c>
      <c r="G13" s="1"/>
      <c r="H13" s="3"/>
      <c r="I13" s="11"/>
      <c r="J13" s="12" t="str">
        <f>_xlfn.SINGLE(_xlfn.IFNA(VLOOKUP($I13,'פרטים אישיים'!$D$4:$G$100,2,FALSE),""))</f>
        <v/>
      </c>
      <c r="K13" s="13" t="str">
        <f>_xlfn.SINGLE(_xlfn.IFNA(VLOOKUP($I13,'פרטים אישיים'!$D$4:$G$100,3,FALSE),""))</f>
        <v/>
      </c>
      <c r="L13" s="14" t="str">
        <f>_xlfn.SINGLE(_xlfn.IFNA(VLOOKUP($I13,'פרטים אישיים'!$D$4:$G$100,4,FALSE),""))</f>
        <v/>
      </c>
      <c r="M13" s="1"/>
      <c r="O13" s="51" t="s">
        <v>11</v>
      </c>
      <c r="P13" s="48"/>
      <c r="Q13" s="1"/>
      <c r="R13" s="1"/>
      <c r="S13" s="1"/>
      <c r="T13" s="3" t="s">
        <v>12</v>
      </c>
      <c r="U13" s="11"/>
      <c r="V13" s="12" t="str">
        <f>_xlfn.SINGLE(_xlfn.IFNA(VLOOKUP($U13,'פרטים אישיים'!$D$4:$G$100,2,FALSE),""))</f>
        <v/>
      </c>
      <c r="W13" s="13" t="str">
        <f>_xlfn.SINGLE(_xlfn.IFNA(VLOOKUP($U13,'פרטים אישיים'!$D$4:$G$100,3,FALSE),""))</f>
        <v/>
      </c>
      <c r="X13" s="14" t="str">
        <f>_xlfn.SINGLE(_xlfn.IFNA(VLOOKUP($U13,'פרטים אישיים'!$D$4:$G$100,4,FALSE),""))</f>
        <v/>
      </c>
      <c r="Y13" s="1"/>
      <c r="Z13" s="1"/>
    </row>
    <row r="14" spans="1:26" ht="22.5" customHeight="1">
      <c r="A14" s="1"/>
      <c r="B14" s="1"/>
      <c r="C14" s="5"/>
      <c r="D14" s="6" t="str">
        <f>_xlfn.SINGLE(_xlfn.IFNA(VLOOKUP($C14,'פרטים אישיים'!$D$4:$G$100,2,FALSE),""))</f>
        <v/>
      </c>
      <c r="E14" s="7" t="str">
        <f>_xlfn.SINGLE(_xlfn.IFNA(VLOOKUP($C14,'פרטים אישיים'!$D$4:$G$100,3,FALSE),""))</f>
        <v/>
      </c>
      <c r="F14" s="8" t="str">
        <f>_xlfn.SINGLE(_xlfn.IFNA(VLOOKUP($C14,'פרטים אישיים'!$D$4:$G$100,4,FALSE),""))</f>
        <v/>
      </c>
      <c r="G14" s="1"/>
      <c r="H14" s="1"/>
      <c r="I14" s="1"/>
      <c r="J14" s="1"/>
      <c r="K14" s="1"/>
      <c r="L14" s="1"/>
      <c r="M14" s="1"/>
      <c r="O14" s="3" t="s">
        <v>4</v>
      </c>
      <c r="P14" s="3" t="s">
        <v>5</v>
      </c>
      <c r="Q14" s="3" t="s">
        <v>6</v>
      </c>
      <c r="R14" s="3" t="s">
        <v>7</v>
      </c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"/>
      <c r="C15" s="11"/>
      <c r="D15" s="12" t="str">
        <f>_xlfn.SINGLE(_xlfn.IFNA(VLOOKUP($C15,'פרטים אישיים'!$D$4:$G$100,2,FALSE),""))</f>
        <v/>
      </c>
      <c r="E15" s="13" t="str">
        <f>_xlfn.SINGLE(_xlfn.IFNA(VLOOKUP($C15,'פרטים אישיים'!$D$4:$G$100,3,FALSE),""))</f>
        <v/>
      </c>
      <c r="F15" s="14" t="str">
        <f>_xlfn.SINGLE(_xlfn.IFNA(VLOOKUP($C15,'פרטים אישיים'!$D$4:$G$100,4,FALSE),""))</f>
        <v/>
      </c>
      <c r="G15" s="1"/>
      <c r="H15" s="1"/>
      <c r="I15" s="1"/>
      <c r="J15" s="1"/>
      <c r="K15" s="1"/>
      <c r="L15" s="1"/>
      <c r="M15" s="1"/>
      <c r="O15" s="5"/>
      <c r="P15" s="6" t="str">
        <f>_xlfn.SINGLE(_xlfn.IFNA(VLOOKUP($O15,'פרטים אישיים'!$D$4:$G$100,2,FALSE),""))</f>
        <v/>
      </c>
      <c r="Q15" s="7" t="str">
        <f>_xlfn.SINGLE(_xlfn.IFNA(VLOOKUP($O15,'פרטים אישיים'!$D$4:$G$100,3,FALSE),""))</f>
        <v/>
      </c>
      <c r="R15" s="8" t="str">
        <f>_xlfn.SINGLE(_xlfn.IFNA(VLOOKUP($O15,'פרטים אישיים'!$D$4:$G$100,4,FALSE),""))</f>
        <v/>
      </c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"/>
      <c r="C16" s="1"/>
      <c r="D16" s="1"/>
      <c r="E16" s="1"/>
      <c r="F16" s="1"/>
      <c r="G16" s="1"/>
      <c r="H16" s="2"/>
      <c r="I16" s="47" t="s">
        <v>13</v>
      </c>
      <c r="J16" s="48"/>
      <c r="K16" s="2"/>
      <c r="L16" s="2"/>
      <c r="M16" s="1"/>
      <c r="O16" s="10"/>
      <c r="P16" s="6" t="str">
        <f>_xlfn.SINGLE(_xlfn.IFNA(VLOOKUP($O16,'פרטים אישיים'!$D$4:$G$100,2,FALSE),""))</f>
        <v/>
      </c>
      <c r="Q16" s="7" t="str">
        <f>_xlfn.SINGLE(_xlfn.IFNA(VLOOKUP($O16,'פרטים אישיים'!$D$4:$G$100,3,FALSE),""))</f>
        <v/>
      </c>
      <c r="R16" s="8" t="str">
        <f>_xlfn.SINGLE(_xlfn.IFNA(VLOOKUP($O16,'פרטים אישיים'!$D$4:$G$100,4,FALSE),""))</f>
        <v/>
      </c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1"/>
      <c r="G17" s="1"/>
      <c r="H17" s="2"/>
      <c r="I17" s="4" t="s">
        <v>4</v>
      </c>
      <c r="J17" s="4" t="s">
        <v>5</v>
      </c>
      <c r="K17" s="4" t="s">
        <v>6</v>
      </c>
      <c r="L17" s="4" t="s">
        <v>7</v>
      </c>
      <c r="M17" s="1"/>
      <c r="N17" s="1"/>
      <c r="O17" s="15"/>
      <c r="P17" s="16" t="str">
        <f>_xlfn.SINGLE(_xlfn.IFNA(VLOOKUP($O17,'פרטים אישיים'!$D$4:$G$100,2,FALSE),""))</f>
        <v/>
      </c>
      <c r="Q17" s="7" t="str">
        <f>_xlfn.SINGLE(_xlfn.IFNA(VLOOKUP($O17,'פרטים אישיים'!$D$4:$G$100,3,FALSE),""))</f>
        <v/>
      </c>
      <c r="R17" s="8" t="str">
        <f>_xlfn.SINGLE(_xlfn.IFNA(VLOOKUP($O17,'פרטים אישיים'!$D$4:$G$100,4,FALSE),""))</f>
        <v/>
      </c>
      <c r="S17" s="1"/>
      <c r="T17" s="1"/>
      <c r="U17" s="49" t="s">
        <v>14</v>
      </c>
      <c r="V17" s="48"/>
      <c r="W17" s="1"/>
      <c r="X17" s="1"/>
      <c r="Y17" s="1"/>
      <c r="Z17" s="1"/>
    </row>
    <row r="18" spans="1:26" ht="22.5" customHeight="1">
      <c r="A18" s="1"/>
      <c r="B18" s="1"/>
      <c r="C18" s="50" t="s">
        <v>15</v>
      </c>
      <c r="D18" s="48"/>
      <c r="E18" s="1"/>
      <c r="F18" s="1"/>
      <c r="G18" s="1"/>
      <c r="H18" s="2"/>
      <c r="I18" s="5"/>
      <c r="J18" s="6" t="str">
        <f>_xlfn.SINGLE(_xlfn.IFNA(VLOOKUP($I18,'פרטים אישיים'!$D$4:$G$100,2,FALSE),""))</f>
        <v/>
      </c>
      <c r="K18" s="7" t="str">
        <f>_xlfn.SINGLE(_xlfn.IFNA(VLOOKUP($I18,'פרטים אישיים'!$D$4:$G$100,3,FALSE),""))</f>
        <v/>
      </c>
      <c r="L18" s="8" t="str">
        <f>_xlfn.SINGLE(_xlfn.IFNA(VLOOKUP($I18,'פרטים אישיים'!$D$4:$G$100,4,FALSE),""))</f>
        <v/>
      </c>
      <c r="M18" s="1"/>
      <c r="N18" s="1"/>
      <c r="O18" s="15"/>
      <c r="P18" s="16" t="str">
        <f>_xlfn.SINGLE(_xlfn.IFNA(VLOOKUP($O18,'פרטים אישיים'!$D$4:$G$100,2,FALSE),""))</f>
        <v/>
      </c>
      <c r="Q18" s="7" t="str">
        <f>_xlfn.SINGLE(_xlfn.IFNA(VLOOKUP($O18,'פרטים אישיים'!$D$4:$G$100,3,FALSE),""))</f>
        <v/>
      </c>
      <c r="R18" s="8" t="str">
        <f>_xlfn.SINGLE(_xlfn.IFNA(VLOOKUP($O18,'פרטים אישיים'!$D$4:$G$100,4,FALSE),""))</f>
        <v/>
      </c>
      <c r="S18" s="1"/>
      <c r="T18" s="1"/>
      <c r="U18" s="3" t="s">
        <v>4</v>
      </c>
      <c r="V18" s="3" t="s">
        <v>5</v>
      </c>
      <c r="W18" s="3" t="s">
        <v>6</v>
      </c>
      <c r="X18" s="3" t="s">
        <v>7</v>
      </c>
      <c r="Y18" s="1"/>
      <c r="Z18" s="1"/>
    </row>
    <row r="19" spans="1:26" ht="22.5" customHeight="1">
      <c r="A19" s="1"/>
      <c r="B19" s="1"/>
      <c r="C19" s="3" t="s">
        <v>4</v>
      </c>
      <c r="D19" s="3" t="s">
        <v>5</v>
      </c>
      <c r="E19" s="3" t="s">
        <v>6</v>
      </c>
      <c r="F19" s="3" t="s">
        <v>7</v>
      </c>
      <c r="G19" s="1"/>
      <c r="H19" s="2"/>
      <c r="I19" s="5"/>
      <c r="J19" s="6" t="str">
        <f>_xlfn.SINGLE(_xlfn.IFNA(VLOOKUP($I19,'פרטים אישיים'!$D$4:$G$100,2,FALSE),""))</f>
        <v/>
      </c>
      <c r="K19" s="7" t="str">
        <f>_xlfn.SINGLE(_xlfn.IFNA(VLOOKUP($I19,'פרטים אישיים'!$D$4:$G$100,3,FALSE),""))</f>
        <v/>
      </c>
      <c r="L19" s="8" t="str">
        <f>_xlfn.SINGLE(_xlfn.IFNA(VLOOKUP($I19,'פרטים אישיים'!$D$4:$G$100,4,FALSE),""))</f>
        <v/>
      </c>
      <c r="M19" s="1"/>
      <c r="N19" s="1"/>
      <c r="O19" s="15"/>
      <c r="P19" s="16" t="str">
        <f>_xlfn.SINGLE(_xlfn.IFNA(VLOOKUP($O19,'פרטים אישיים'!$D$4:$G$100,2,FALSE),""))</f>
        <v/>
      </c>
      <c r="Q19" s="7" t="str">
        <f>_xlfn.SINGLE(_xlfn.IFNA(VLOOKUP($O19,'פרטים אישיים'!$D$4:$G$100,3,FALSE),""))</f>
        <v/>
      </c>
      <c r="R19" s="8" t="str">
        <f>_xlfn.SINGLE(_xlfn.IFNA(VLOOKUP($O19,'פרטים אישיים'!$D$4:$G$100,4,FALSE),""))</f>
        <v/>
      </c>
      <c r="S19" s="1"/>
      <c r="T19" s="20" t="s">
        <v>16</v>
      </c>
      <c r="U19" s="5"/>
      <c r="V19" s="6" t="str">
        <f>_xlfn.SINGLE(_xlfn.IFNA(VLOOKUP($U19,'פרטים אישיים'!$D$4:$G$100,2,FALSE),""))</f>
        <v/>
      </c>
      <c r="W19" s="7" t="str">
        <f>_xlfn.SINGLE(_xlfn.IFNA(VLOOKUP($U19,'פרטים אישיים'!$D$4:$G$100,3,FALSE),""))</f>
        <v/>
      </c>
      <c r="X19" s="8" t="str">
        <f>_xlfn.SINGLE(_xlfn.IFNA(VLOOKUP($U19,'פרטים אישיים'!$D$4:$G$100,4,FALSE),""))</f>
        <v/>
      </c>
      <c r="Y19" s="1"/>
      <c r="Z19" s="1"/>
    </row>
    <row r="20" spans="1:26" ht="22.5" customHeight="1">
      <c r="A20" s="1"/>
      <c r="B20" s="1"/>
      <c r="C20" s="5"/>
      <c r="D20" s="6" t="str">
        <f>_xlfn.SINGLE(_xlfn.IFNA(VLOOKUP($C20,'פרטים אישיים'!$D$4:$G$100,2,FALSE),""))</f>
        <v/>
      </c>
      <c r="E20" s="7" t="str">
        <f>_xlfn.SINGLE(_xlfn.IFNA(VLOOKUP($C20,'פרטים אישיים'!$D$4:$G$100,3,FALSE),""))</f>
        <v/>
      </c>
      <c r="F20" s="8" t="str">
        <f>_xlfn.SINGLE(_xlfn.IFNA(VLOOKUP($C20,'פרטים אישיים'!$D$4:$G$100,4,FALSE),""))</f>
        <v/>
      </c>
      <c r="G20" s="1"/>
      <c r="H20" s="2"/>
      <c r="I20" s="5"/>
      <c r="J20" s="6" t="str">
        <f>_xlfn.SINGLE(_xlfn.IFNA(VLOOKUP($I20,'פרטים אישיים'!$D$4:$G$100,2,FALSE),""))</f>
        <v/>
      </c>
      <c r="K20" s="7" t="str">
        <f>_xlfn.SINGLE(_xlfn.IFNA(VLOOKUP($I20,'פרטים אישיים'!$D$4:$G$100,3,FALSE),""))</f>
        <v/>
      </c>
      <c r="L20" s="8" t="str">
        <f>_xlfn.SINGLE(_xlfn.IFNA(VLOOKUP($I20,'פרטים אישיים'!$D$4:$G$100,4,FALSE),""))</f>
        <v/>
      </c>
      <c r="M20" s="1"/>
      <c r="N20" s="1"/>
      <c r="O20" s="17"/>
      <c r="P20" s="12" t="str">
        <f>_xlfn.SINGLE(_xlfn.IFNA(VLOOKUP($O20,'פרטים אישיים'!$D$4:$G$100,2,FALSE),""))</f>
        <v/>
      </c>
      <c r="Q20" s="13" t="str">
        <f>_xlfn.SINGLE(_xlfn.IFNA(VLOOKUP($O20,'פרטים אישיים'!$D$4:$G$100,3,FALSE),""))</f>
        <v/>
      </c>
      <c r="R20" s="14" t="str">
        <f>_xlfn.SINGLE(_xlfn.IFNA(VLOOKUP($O20,'פרטים אישיים'!$D$4:$G$100,4,FALSE),""))</f>
        <v/>
      </c>
      <c r="S20" s="1"/>
      <c r="T20" s="20" t="s">
        <v>17</v>
      </c>
      <c r="U20" s="10"/>
      <c r="V20" s="12" t="str">
        <f>_xlfn.SINGLE(_xlfn.IFNA(VLOOKUP($U20,'פרטים אישיים'!$D$4:$G$100,2,FALSE),""))</f>
        <v/>
      </c>
      <c r="W20" s="13" t="str">
        <f>_xlfn.SINGLE(_xlfn.IFNA(VLOOKUP($U20,'פרטים אישיים'!$D$4:$G$100,3,FALSE),""))</f>
        <v/>
      </c>
      <c r="X20" s="14" t="str">
        <f>_xlfn.SINGLE(_xlfn.IFNA(VLOOKUP($U20,'פרטים אישיים'!$D$4:$G$100,4,FALSE),""))</f>
        <v/>
      </c>
      <c r="Y20" s="1"/>
      <c r="Z20" s="1"/>
    </row>
    <row r="21" spans="1:26" ht="22.5" customHeight="1">
      <c r="A21" s="1"/>
      <c r="B21" s="1"/>
      <c r="C21" s="5"/>
      <c r="D21" s="6" t="str">
        <f>_xlfn.SINGLE(_xlfn.IFNA(VLOOKUP($C21,'פרטים אישיים'!$D$4:$G$100,2,FALSE),""))</f>
        <v/>
      </c>
      <c r="E21" s="7" t="str">
        <f>_xlfn.SINGLE(_xlfn.IFNA(VLOOKUP($C21,'פרטים אישיים'!$D$4:$G$100,3,FALSE),""))</f>
        <v/>
      </c>
      <c r="F21" s="8" t="str">
        <f>_xlfn.SINGLE(_xlfn.IFNA(VLOOKUP($C21,'פרטים אישיים'!$D$4:$G$100,4,FALSE),""))</f>
        <v/>
      </c>
      <c r="G21" s="1"/>
      <c r="H21" s="3"/>
      <c r="I21" s="11"/>
      <c r="J21" s="12" t="str">
        <f>_xlfn.SINGLE(_xlfn.IFNA(VLOOKUP($I21,'פרטים אישיים'!$D$4:$G$100,2,FALSE),""))</f>
        <v/>
      </c>
      <c r="K21" s="13" t="str">
        <f>_xlfn.SINGLE(_xlfn.IFNA(VLOOKUP($I21,'פרטים אישיים'!$D$4:$G$100,3,FALSE),""))</f>
        <v/>
      </c>
      <c r="L21" s="14" t="str">
        <f>_xlfn.SINGLE(_xlfn.IFNA(VLOOKUP($I21,'פרטים אישיים'!$D$4:$G$100,4,FALSE),""))</f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1"/>
      <c r="D22" s="12" t="str">
        <f>_xlfn.SINGLE(_xlfn.IFNA(VLOOKUP($C22,'פרטים אישיים'!$D$4:$G$100,2,FALSE),""))</f>
        <v/>
      </c>
      <c r="E22" s="13" t="str">
        <f>_xlfn.SINGLE(_xlfn.IFNA(VLOOKUP($C22,'פרטים אישיים'!$D$4:$G$100,3,FALSE),""))</f>
        <v/>
      </c>
      <c r="F22" s="14" t="str">
        <f>_xlfn.SINGLE(_xlfn.IFNA(VLOOKUP($C22,'פרטים אישיים'!$D$4:$G$100,4,FALSE),""))</f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0">
    <mergeCell ref="I16:J16"/>
    <mergeCell ref="U17:V17"/>
    <mergeCell ref="C18:D18"/>
    <mergeCell ref="C4:D4"/>
    <mergeCell ref="I4:J4"/>
    <mergeCell ref="O4:P4"/>
    <mergeCell ref="U4:V4"/>
    <mergeCell ref="T8:T9"/>
    <mergeCell ref="C11:D11"/>
    <mergeCell ref="O13:P13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'פרטים אישיים'!$D$4:$D$100</xm:f>
          </x14:formula1>
          <xm:sqref>C6:C8 O6:O9 I6:I13 U6:U13 C13:C15 O15:O20 U19:U20 I18:I21 C20:C22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rightToLeft="1" zoomScale="70" zoomScaleNormal="70" workbookViewId="0">
      <selection activeCell="D6" sqref="D6"/>
    </sheetView>
  </sheetViews>
  <sheetFormatPr defaultColWidth="12.6328125" defaultRowHeight="15.75" customHeight="1"/>
  <cols>
    <col min="3" max="3" width="20.6328125" customWidth="1"/>
    <col min="9" max="9" width="15.90625" customWidth="1"/>
    <col min="10" max="10" width="21.54296875" customWidth="1"/>
  </cols>
  <sheetData>
    <row r="1" spans="1:26" ht="12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5">
      <c r="A4" s="1"/>
      <c r="B4" s="1"/>
      <c r="C4" s="50" t="s">
        <v>0</v>
      </c>
      <c r="D4" s="48"/>
      <c r="E4" s="1"/>
      <c r="F4" s="1"/>
      <c r="G4" s="1"/>
      <c r="H4" s="2"/>
      <c r="I4" s="47" t="s">
        <v>1</v>
      </c>
      <c r="J4" s="48"/>
      <c r="K4" s="2"/>
      <c r="L4" s="2"/>
      <c r="M4" s="1"/>
      <c r="N4" s="1"/>
      <c r="O4" s="51" t="s">
        <v>2</v>
      </c>
      <c r="P4" s="48"/>
      <c r="Q4" s="1"/>
      <c r="R4" s="1"/>
      <c r="S4" s="1"/>
      <c r="T4" s="2"/>
      <c r="U4" s="52" t="s">
        <v>3</v>
      </c>
      <c r="V4" s="48"/>
      <c r="W4" s="2"/>
      <c r="X4" s="2"/>
      <c r="Y4" s="1"/>
      <c r="Z4" s="1"/>
    </row>
    <row r="5" spans="1:26" ht="22.5" customHeight="1">
      <c r="A5" s="1"/>
      <c r="B5" s="1"/>
      <c r="C5" s="3" t="s">
        <v>4</v>
      </c>
      <c r="D5" s="3" t="s">
        <v>5</v>
      </c>
      <c r="E5" s="3" t="s">
        <v>6</v>
      </c>
      <c r="F5" s="3" t="s">
        <v>7</v>
      </c>
      <c r="G5" s="1"/>
      <c r="H5" s="2"/>
      <c r="I5" s="4" t="s">
        <v>4</v>
      </c>
      <c r="J5" s="4" t="s">
        <v>5</v>
      </c>
      <c r="K5" s="4" t="s">
        <v>6</v>
      </c>
      <c r="L5" s="4" t="s">
        <v>7</v>
      </c>
      <c r="M5" s="1"/>
      <c r="N5" s="1"/>
      <c r="O5" s="3" t="s">
        <v>4</v>
      </c>
      <c r="P5" s="3" t="s">
        <v>5</v>
      </c>
      <c r="Q5" s="3" t="s">
        <v>6</v>
      </c>
      <c r="R5" s="3" t="s">
        <v>7</v>
      </c>
      <c r="S5" s="1"/>
      <c r="T5" s="2"/>
      <c r="U5" s="4" t="s">
        <v>4</v>
      </c>
      <c r="V5" s="4" t="s">
        <v>5</v>
      </c>
      <c r="W5" s="4" t="s">
        <v>6</v>
      </c>
      <c r="X5" s="4" t="s">
        <v>7</v>
      </c>
      <c r="Y5" s="1"/>
      <c r="Z5" s="1"/>
    </row>
    <row r="6" spans="1:26" ht="22.5" customHeight="1">
      <c r="A6" s="1"/>
      <c r="B6" s="1"/>
      <c r="C6" s="5"/>
      <c r="D6" s="6" t="str">
        <f>_xlfn.SINGLE(_xlfn.IFNA(VLOOKUP($C6,'פרטים אישיים'!$D$4:$G$100,2,FALSE),""))</f>
        <v/>
      </c>
      <c r="E6" s="7" t="str">
        <f>_xlfn.SINGLE(_xlfn.IFNA(VLOOKUP($C6,'פרטים אישיים'!$D$4:$G$100,3,FALSE),""))</f>
        <v/>
      </c>
      <c r="F6" s="8" t="str">
        <f>_xlfn.SINGLE(_xlfn.IFNA(VLOOKUP($C6,'פרטים אישיים'!$D$4:$G$100,4,FALSE),""))</f>
        <v/>
      </c>
      <c r="G6" s="1"/>
      <c r="H6" s="2"/>
      <c r="I6" s="5" t="s">
        <v>18</v>
      </c>
      <c r="J6" s="6" t="str">
        <f>_xlfn.SINGLE(_xlfn.IFNA(VLOOKUP($I6,'פרטים אישיים'!$D$4:$G$100,2,FALSE),""))</f>
        <v>058-6644228</v>
      </c>
      <c r="K6" s="7">
        <f>_xlfn.SINGLE(_xlfn.IFNA(VLOOKUP($I6,'פרטים אישיים'!$D$4:$G$100,3,FALSE),""))</f>
        <v>8264943</v>
      </c>
      <c r="L6" s="8" t="str">
        <f>_xlfn.SINGLE(_xlfn.IFNA(VLOOKUP($I6,'פרטים אישיים'!$D$4:$G$100,4,FALSE),""))</f>
        <v>מ"מ</v>
      </c>
      <c r="M6" s="1"/>
      <c r="N6" s="1"/>
      <c r="O6" s="5"/>
      <c r="P6" s="6" t="str">
        <f>_xlfn.SINGLE(_xlfn.IFNA(VLOOKUP($O6,'פרטים אישיים'!$D$4:$G$100,2,FALSE),""))</f>
        <v/>
      </c>
      <c r="Q6" s="7" t="str">
        <f>_xlfn.SINGLE(_xlfn.IFNA(VLOOKUP($O6,'פרטים אישיים'!$D$4:$G$100,3,FALSE),""))</f>
        <v/>
      </c>
      <c r="R6" s="8" t="str">
        <f>_xlfn.SINGLE(_xlfn.IFNA(VLOOKUP($O6,'פרטים אישיים'!$D$4:$G$100,4,FALSE),""))</f>
        <v/>
      </c>
      <c r="S6" s="1"/>
      <c r="T6" s="9">
        <v>46082</v>
      </c>
      <c r="U6" s="5"/>
      <c r="V6" s="6" t="str">
        <f>_xlfn.SINGLE(_xlfn.IFNA(VLOOKUP($U6,'פרטים אישיים'!$D$4:$G$100,2,FALSE),""))</f>
        <v/>
      </c>
      <c r="W6" s="7" t="str">
        <f>_xlfn.SINGLE(_xlfn.IFNA(VLOOKUP($U6,'פרטים אישיים'!$D$4:$G$100,3,FALSE),""))</f>
        <v/>
      </c>
      <c r="X6" s="8" t="str">
        <f>_xlfn.SINGLE(_xlfn.IFNA(VLOOKUP($U6,'פרטים אישיים'!$D$4:$G$100,4,FALSE),""))</f>
        <v/>
      </c>
      <c r="Y6" s="1"/>
      <c r="Z6" s="1"/>
    </row>
    <row r="7" spans="1:26" ht="22.5" customHeight="1">
      <c r="A7" s="1"/>
      <c r="B7" s="1"/>
      <c r="C7" s="5"/>
      <c r="D7" s="6" t="str">
        <f>_xlfn.SINGLE(_xlfn.IFNA(VLOOKUP($C7,'פרטים אישיים'!$D$4:$G$100,2,FALSE),""))</f>
        <v/>
      </c>
      <c r="E7" s="7" t="str">
        <f>_xlfn.SINGLE(_xlfn.IFNA(VLOOKUP($C7,'פרטים אישיים'!$D$4:$G$100,3,FALSE),""))</f>
        <v/>
      </c>
      <c r="F7" s="8" t="str">
        <f>_xlfn.SINGLE(_xlfn.IFNA(VLOOKUP($C7,'פרטים אישיים'!$D$4:$G$100,4,FALSE),""))</f>
        <v/>
      </c>
      <c r="G7" s="1"/>
      <c r="H7" s="2"/>
      <c r="I7" s="5" t="s">
        <v>31</v>
      </c>
      <c r="J7" s="6" t="str">
        <f>_xlfn.SINGLE(_xlfn.IFNA(VLOOKUP($I7,'פרטים אישיים'!$D$4:$G$100,2,FALSE),""))</f>
        <v>054-6406758</v>
      </c>
      <c r="K7" s="7">
        <f>_xlfn.SINGLE(_xlfn.IFNA(VLOOKUP($I7,'פרטים אישיים'!$D$4:$G$100,3,FALSE),""))</f>
        <v>8459664</v>
      </c>
      <c r="L7" s="8" t="str">
        <f>_xlfn.SINGLE(_xlfn.IFNA(VLOOKUP($I7,'פרטים אישיים'!$D$4:$G$100,4,FALSE),""))</f>
        <v>לוחם</v>
      </c>
      <c r="M7" s="1"/>
      <c r="N7" s="1"/>
      <c r="O7" s="10"/>
      <c r="P7" s="6" t="str">
        <f>_xlfn.SINGLE(_xlfn.IFNA(VLOOKUP($O7,'פרטים אישיים'!$D$4:$G$100,2,FALSE),""))</f>
        <v/>
      </c>
      <c r="Q7" s="7" t="str">
        <f>_xlfn.SINGLE(_xlfn.IFNA(VLOOKUP($O7,'פרטים אישיים'!$D$4:$G$100,3,FALSE),""))</f>
        <v/>
      </c>
      <c r="R7" s="8" t="str">
        <f>_xlfn.SINGLE(_xlfn.IFNA(VLOOKUP($O7,'פרטים אישיים'!$D$4:$G$100,4,FALSE),""))</f>
        <v/>
      </c>
      <c r="S7" s="1"/>
      <c r="T7" s="9">
        <v>46145</v>
      </c>
      <c r="U7" s="5"/>
      <c r="V7" s="6" t="str">
        <f>_xlfn.SINGLE(_xlfn.IFNA(VLOOKUP($U7,'פרטים אישיים'!$D$4:$G$100,2,FALSE),""))</f>
        <v/>
      </c>
      <c r="W7" s="7" t="str">
        <f>_xlfn.SINGLE(_xlfn.IFNA(VLOOKUP($U7,'פרטים אישיים'!$D$4:$G$100,3,FALSE),""))</f>
        <v/>
      </c>
      <c r="X7" s="8" t="str">
        <f>_xlfn.SINGLE(_xlfn.IFNA(VLOOKUP($U7,'פרטים אישיים'!$D$4:$G$100,4,FALSE),""))</f>
        <v/>
      </c>
      <c r="Y7" s="1"/>
      <c r="Z7" s="1"/>
    </row>
    <row r="8" spans="1:26" ht="22.5" customHeight="1">
      <c r="A8" s="1"/>
      <c r="B8" s="1"/>
      <c r="C8" s="11"/>
      <c r="D8" s="12" t="str">
        <f>_xlfn.SINGLE(_xlfn.IFNA(VLOOKUP($C8,'פרטים אישיים'!$D$4:$G$100,2,FALSE),""))</f>
        <v/>
      </c>
      <c r="E8" s="13" t="str">
        <f>_xlfn.SINGLE(_xlfn.IFNA(VLOOKUP($C8,'פרטים אישיים'!$D$4:$G$100,3,FALSE),""))</f>
        <v/>
      </c>
      <c r="F8" s="14" t="str">
        <f>_xlfn.SINGLE(_xlfn.IFNA(VLOOKUP($C8,'פרטים אישיים'!$D$4:$G$100,4,FALSE),""))</f>
        <v/>
      </c>
      <c r="G8" s="1"/>
      <c r="H8" s="2"/>
      <c r="I8" s="5" t="s">
        <v>30</v>
      </c>
      <c r="J8" s="6" t="str">
        <f>_xlfn.SINGLE(_xlfn.IFNA(VLOOKUP($I8,'פרטים אישיים'!$D$4:$G$100,2,FALSE),""))</f>
        <v>052-3909856</v>
      </c>
      <c r="K8" s="7">
        <f>_xlfn.SINGLE(_xlfn.IFNA(VLOOKUP($I8,'פרטים אישיים'!$D$4:$G$100,3,FALSE),""))</f>
        <v>8233128</v>
      </c>
      <c r="L8" s="8" t="str">
        <f>_xlfn.SINGLE(_xlfn.IFNA(VLOOKUP($I8,'פרטים אישיים'!$D$4:$G$100,4,FALSE),""))</f>
        <v>קלע</v>
      </c>
      <c r="M8" s="1"/>
      <c r="N8" s="1"/>
      <c r="O8" s="15"/>
      <c r="P8" s="16" t="str">
        <f>_xlfn.SINGLE(_xlfn.IFNA(VLOOKUP($O8,'פרטים אישיים'!$D$4:$G$100,2,FALSE),""))</f>
        <v/>
      </c>
      <c r="Q8" s="7" t="str">
        <f>_xlfn.SINGLE(_xlfn.IFNA(VLOOKUP($O8,'פרטים אישיים'!$D$4:$G$100,3,FALSE),""))</f>
        <v/>
      </c>
      <c r="R8" s="8" t="str">
        <f>_xlfn.SINGLE(_xlfn.IFNA(VLOOKUP($O8,'פרטים אישיים'!$D$4:$G$100,4,FALSE),""))</f>
        <v/>
      </c>
      <c r="S8" s="1"/>
      <c r="T8" s="53">
        <v>46208</v>
      </c>
      <c r="U8" s="5"/>
      <c r="V8" s="6" t="str">
        <f>_xlfn.SINGLE(_xlfn.IFNA(VLOOKUP($U8,'פרטים אישיים'!$D$4:$G$100,2,FALSE),""))</f>
        <v/>
      </c>
      <c r="W8" s="7" t="str">
        <f>_xlfn.SINGLE(_xlfn.IFNA(VLOOKUP($U8,'פרטים אישיים'!$D$4:$G$100,3,FALSE),""))</f>
        <v/>
      </c>
      <c r="X8" s="8" t="str">
        <f>_xlfn.SINGLE(_xlfn.IFNA(VLOOKUP($U8,'פרטים אישיים'!$D$4:$G$100,4,FALSE),""))</f>
        <v/>
      </c>
      <c r="Y8" s="1"/>
      <c r="Z8" s="1"/>
    </row>
    <row r="9" spans="1:26" ht="22.5" customHeight="1">
      <c r="A9" s="1"/>
      <c r="B9" s="1"/>
      <c r="C9" s="1"/>
      <c r="D9" s="1"/>
      <c r="E9" s="1"/>
      <c r="F9" s="1"/>
      <c r="G9" s="1"/>
      <c r="H9" s="3"/>
      <c r="I9" s="5" t="s">
        <v>32</v>
      </c>
      <c r="J9" s="6" t="str">
        <f>_xlfn.SINGLE(_xlfn.IFNA(VLOOKUP($I9,'פרטים אישיים'!$D$4:$G$100,2,FALSE),""))</f>
        <v>052-2456636</v>
      </c>
      <c r="K9" s="7">
        <f>_xlfn.SINGLE(_xlfn.IFNA(VLOOKUP($I9,'פרטים אישיים'!$D$4:$G$100,3,FALSE),""))</f>
        <v>8110205</v>
      </c>
      <c r="L9" s="8" t="str">
        <f>_xlfn.SINGLE(_xlfn.IFNA(VLOOKUP($I9,'פרטים אישיים'!$D$4:$G$100,4,FALSE),""))</f>
        <v>לוחם</v>
      </c>
      <c r="M9" s="1"/>
      <c r="N9" s="1"/>
      <c r="O9" s="17"/>
      <c r="P9" s="12" t="str">
        <f>_xlfn.SINGLE(_xlfn.IFNA(VLOOKUP($O9,'פרטים אישיים'!$D$4:$G$100,2,FALSE),""))</f>
        <v/>
      </c>
      <c r="Q9" s="13" t="str">
        <f>_xlfn.SINGLE(_xlfn.IFNA(VLOOKUP($O9,'פרטים אישיים'!$D$4:$G$100,3,FALSE),""))</f>
        <v/>
      </c>
      <c r="R9" s="14" t="str">
        <f>_xlfn.SINGLE(_xlfn.IFNA(VLOOKUP($O9,'פרטים אישיים'!$D$4:$G$100,4,FALSE),""))</f>
        <v/>
      </c>
      <c r="S9" s="1"/>
      <c r="T9" s="48"/>
      <c r="U9" s="5"/>
      <c r="V9" s="6" t="str">
        <f>_xlfn.SINGLE(_xlfn.IFNA(VLOOKUP($U9,'פרטים אישיים'!$D$4:$G$100,2,FALSE),""))</f>
        <v/>
      </c>
      <c r="W9" s="7" t="str">
        <f>_xlfn.SINGLE(_xlfn.IFNA(VLOOKUP($U9,'פרטים אישיים'!$D$4:$G$100,3,FALSE),""))</f>
        <v/>
      </c>
      <c r="X9" s="8" t="str">
        <f>_xlfn.SINGLE(_xlfn.IFNA(VLOOKUP($U9,'פרטים אישיים'!$D$4:$G$100,4,FALSE),""))</f>
        <v/>
      </c>
      <c r="Y9" s="1"/>
      <c r="Z9" s="1"/>
    </row>
    <row r="10" spans="1:26" ht="22.5" customHeight="1">
      <c r="A10" s="1"/>
      <c r="B10" s="1"/>
      <c r="C10" s="1"/>
      <c r="D10" s="1"/>
      <c r="E10" s="1"/>
      <c r="F10" s="1"/>
      <c r="G10" s="1"/>
      <c r="H10" s="3"/>
      <c r="I10" s="5" t="s">
        <v>20</v>
      </c>
      <c r="J10" s="6" t="str">
        <f>_xlfn.SINGLE(_xlfn.IFNA(VLOOKUP($I10,'פרטים אישיים'!$D$4:$G$100,2,FALSE),""))</f>
        <v>053-5251353</v>
      </c>
      <c r="K10" s="7">
        <f>_xlfn.SINGLE(_xlfn.IFNA(VLOOKUP($I10,'פרטים אישיים'!$D$4:$G$100,3,FALSE),""))</f>
        <v>8301564</v>
      </c>
      <c r="L10" s="8" t="str">
        <f>_xlfn.SINGLE(_xlfn.IFNA(VLOOKUP($I10,'פרטים אישיים'!$D$4:$G$100,4,FALSE),""))</f>
        <v>לוחם</v>
      </c>
      <c r="M10" s="1"/>
      <c r="N10" s="1"/>
      <c r="O10" s="1"/>
      <c r="P10" s="1"/>
      <c r="Q10" s="1"/>
      <c r="R10" s="1"/>
      <c r="S10" s="18" t="s">
        <v>8</v>
      </c>
      <c r="T10" s="3" t="s">
        <v>9</v>
      </c>
      <c r="U10" s="5"/>
      <c r="V10" s="6" t="str">
        <f>_xlfn.SINGLE(_xlfn.IFNA(VLOOKUP($U10,'פרטים אישיים'!$D$4:$G$100,2,FALSE),""))</f>
        <v/>
      </c>
      <c r="W10" s="7" t="str">
        <f>_xlfn.SINGLE(_xlfn.IFNA(VLOOKUP($U10,'פרטים אישיים'!$D$4:$G$100,3,FALSE),""))</f>
        <v/>
      </c>
      <c r="X10" s="8" t="str">
        <f>_xlfn.SINGLE(_xlfn.IFNA(VLOOKUP($U10,'פרטים אישיים'!$D$4:$G$100,4,FALSE),""))</f>
        <v/>
      </c>
      <c r="Y10" s="1"/>
      <c r="Z10" s="1"/>
    </row>
    <row r="11" spans="1:26" ht="22.5" customHeight="1">
      <c r="A11" s="1"/>
      <c r="B11" s="1"/>
      <c r="C11" s="50" t="s">
        <v>10</v>
      </c>
      <c r="D11" s="48"/>
      <c r="E11" s="1"/>
      <c r="F11" s="1"/>
      <c r="G11" s="1"/>
      <c r="H11" s="3"/>
      <c r="I11" s="5" t="s">
        <v>29</v>
      </c>
      <c r="J11" s="6" t="str">
        <f>_xlfn.SINGLE(_xlfn.IFNA(VLOOKUP($I11,'פרטים אישיים'!$D$4:$G$100,2,FALSE),""))</f>
        <v>052-6226118</v>
      </c>
      <c r="K11" s="7">
        <f>_xlfn.SINGLE(_xlfn.IFNA(VLOOKUP($I11,'פרטים אישיים'!$D$4:$G$100,3,FALSE),""))</f>
        <v>8295723</v>
      </c>
      <c r="L11" s="8" t="str">
        <f>_xlfn.SINGLE(_xlfn.IFNA(VLOOKUP($I11,'פרטים אישיים'!$D$4:$G$100,4,FALSE),""))</f>
        <v>לוחם</v>
      </c>
      <c r="M11" s="1"/>
      <c r="N11" s="1"/>
      <c r="O11" s="1"/>
      <c r="P11" s="1"/>
      <c r="Q11" s="1"/>
      <c r="R11" s="1"/>
      <c r="S11" s="1"/>
      <c r="T11" s="19">
        <v>46272</v>
      </c>
      <c r="U11" s="5"/>
      <c r="V11" s="6" t="str">
        <f>_xlfn.SINGLE(_xlfn.IFNA(VLOOKUP($U11,'פרטים אישיים'!$D$4:$G$100,2,FALSE),""))</f>
        <v/>
      </c>
      <c r="W11" s="7" t="str">
        <f>_xlfn.SINGLE(_xlfn.IFNA(VLOOKUP($U11,'פרטים אישיים'!$D$4:$G$100,3,FALSE),""))</f>
        <v/>
      </c>
      <c r="X11" s="8" t="str">
        <f>_xlfn.SINGLE(_xlfn.IFNA(VLOOKUP($U11,'פרטים אישיים'!$D$4:$G$100,4,FALSE),""))</f>
        <v/>
      </c>
      <c r="Y11" s="1"/>
      <c r="Z11" s="1"/>
    </row>
    <row r="12" spans="1:26" ht="22.5" customHeight="1">
      <c r="A12" s="1"/>
      <c r="B12" s="1"/>
      <c r="C12" s="3" t="s">
        <v>4</v>
      </c>
      <c r="D12" s="3" t="s">
        <v>5</v>
      </c>
      <c r="E12" s="3" t="s">
        <v>6</v>
      </c>
      <c r="F12" s="3" t="s">
        <v>7</v>
      </c>
      <c r="G12" s="1"/>
      <c r="H12" s="3"/>
      <c r="I12" s="5" t="s">
        <v>33</v>
      </c>
      <c r="J12" s="6" t="str">
        <f>_xlfn.SINGLE(_xlfn.IFNA(VLOOKUP($I12,'פרטים אישיים'!$D$4:$G$100,2,FALSE),""))</f>
        <v>053-3010189</v>
      </c>
      <c r="K12" s="7">
        <f>_xlfn.SINGLE(_xlfn.IFNA(VLOOKUP($I12,'פרטים אישיים'!$D$4:$G$100,3,FALSE),""))</f>
        <v>8401680</v>
      </c>
      <c r="L12" s="8" t="str">
        <f>_xlfn.SINGLE(_xlfn.IFNA(VLOOKUP($I12,'פרטים אישיים'!$D$4:$G$100,4,FALSE),""))</f>
        <v>לוחם</v>
      </c>
      <c r="M12" s="1"/>
      <c r="O12" s="1"/>
      <c r="P12" s="1"/>
      <c r="Q12" s="1"/>
      <c r="R12" s="1"/>
      <c r="S12" s="1"/>
      <c r="T12" s="19">
        <v>46335</v>
      </c>
      <c r="U12" s="5"/>
      <c r="V12" s="6" t="str">
        <f>_xlfn.SINGLE(_xlfn.IFNA(VLOOKUP($U12,'פרטים אישיים'!$D$4:$G$100,2,FALSE),""))</f>
        <v/>
      </c>
      <c r="W12" s="7" t="str">
        <f>_xlfn.SINGLE(_xlfn.IFNA(VLOOKUP($U12,'פרטים אישיים'!$D$4:$G$100,3,FALSE),""))</f>
        <v/>
      </c>
      <c r="X12" s="8" t="str">
        <f>_xlfn.SINGLE(_xlfn.IFNA(VLOOKUP($U12,'פרטים אישיים'!$D$4:$G$100,4,FALSE),""))</f>
        <v/>
      </c>
      <c r="Y12" s="1"/>
      <c r="Z12" s="1"/>
    </row>
    <row r="13" spans="1:26" ht="22.5" customHeight="1">
      <c r="A13" s="1"/>
      <c r="B13" s="1"/>
      <c r="C13" s="5"/>
      <c r="D13" s="6" t="str">
        <f>_xlfn.SINGLE(_xlfn.IFNA(VLOOKUP($C13,'פרטים אישיים'!$D$4:$G$100,2,FALSE),""))</f>
        <v/>
      </c>
      <c r="E13" s="7" t="str">
        <f>_xlfn.SINGLE(_xlfn.IFNA(VLOOKUP($C13,'פרטים אישיים'!$D$4:$G$100,3,FALSE),""))</f>
        <v/>
      </c>
      <c r="F13" s="8" t="str">
        <f>_xlfn.SINGLE(_xlfn.IFNA(VLOOKUP($C13,'פרטים אישיים'!$D$4:$G$100,4,FALSE),""))</f>
        <v/>
      </c>
      <c r="G13" s="1"/>
      <c r="H13" s="3"/>
      <c r="I13" s="11" t="s">
        <v>34</v>
      </c>
      <c r="J13" s="12" t="str">
        <f>_xlfn.SINGLE(_xlfn.IFNA(VLOOKUP($I13,'פרטים אישיים'!$D$4:$G$100,2,FALSE),""))</f>
        <v>050-4201499</v>
      </c>
      <c r="K13" s="13">
        <f>_xlfn.SINGLE(_xlfn.IFNA(VLOOKUP($I13,'פרטים אישיים'!$D$4:$G$100,3,FALSE),""))</f>
        <v>8712591</v>
      </c>
      <c r="L13" s="14" t="str">
        <f>_xlfn.SINGLE(_xlfn.IFNA(VLOOKUP($I13,'פרטים אישיים'!$D$4:$G$100,4,FALSE),""))</f>
        <v>מטול</v>
      </c>
      <c r="M13" s="1"/>
      <c r="O13" s="51" t="s">
        <v>11</v>
      </c>
      <c r="P13" s="48"/>
      <c r="Q13" s="1"/>
      <c r="R13" s="1"/>
      <c r="S13" s="1"/>
      <c r="T13" s="3" t="s">
        <v>12</v>
      </c>
      <c r="U13" s="11"/>
      <c r="V13" s="12" t="str">
        <f>_xlfn.SINGLE(_xlfn.IFNA(VLOOKUP($U13,'פרטים אישיים'!$D$4:$G$100,2,FALSE),""))</f>
        <v/>
      </c>
      <c r="W13" s="13" t="str">
        <f>_xlfn.SINGLE(_xlfn.IFNA(VLOOKUP($U13,'פרטים אישיים'!$D$4:$G$100,3,FALSE),""))</f>
        <v/>
      </c>
      <c r="X13" s="14" t="str">
        <f>_xlfn.SINGLE(_xlfn.IFNA(VLOOKUP($U13,'פרטים אישיים'!$D$4:$G$100,4,FALSE),""))</f>
        <v/>
      </c>
      <c r="Y13" s="1"/>
      <c r="Z13" s="1"/>
    </row>
    <row r="14" spans="1:26" ht="22.5" customHeight="1">
      <c r="A14" s="1"/>
      <c r="B14" s="1"/>
      <c r="C14" s="5"/>
      <c r="D14" s="6" t="str">
        <f>_xlfn.SINGLE(_xlfn.IFNA(VLOOKUP($C14,'פרטים אישיים'!$D$4:$G$100,2,FALSE),""))</f>
        <v/>
      </c>
      <c r="E14" s="7" t="str">
        <f>_xlfn.SINGLE(_xlfn.IFNA(VLOOKUP($C14,'פרטים אישיים'!$D$4:$G$100,3,FALSE),""))</f>
        <v/>
      </c>
      <c r="F14" s="8" t="str">
        <f>_xlfn.SINGLE(_xlfn.IFNA(VLOOKUP($C14,'פרטים אישיים'!$D$4:$G$100,4,FALSE),""))</f>
        <v/>
      </c>
      <c r="G14" s="1"/>
      <c r="H14" s="1"/>
      <c r="I14" s="1"/>
      <c r="J14" s="1"/>
      <c r="K14" s="1"/>
      <c r="L14" s="1"/>
      <c r="M14" s="1"/>
      <c r="O14" s="3" t="s">
        <v>4</v>
      </c>
      <c r="P14" s="3" t="s">
        <v>5</v>
      </c>
      <c r="Q14" s="3" t="s">
        <v>6</v>
      </c>
      <c r="R14" s="3" t="s">
        <v>7</v>
      </c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"/>
      <c r="C15" s="11"/>
      <c r="D15" s="12" t="str">
        <f>_xlfn.SINGLE(_xlfn.IFNA(VLOOKUP($C15,'פרטים אישיים'!$D$4:$G$100,2,FALSE),""))</f>
        <v/>
      </c>
      <c r="E15" s="13" t="str">
        <f>_xlfn.SINGLE(_xlfn.IFNA(VLOOKUP($C15,'פרטים אישיים'!$D$4:$G$100,3,FALSE),""))</f>
        <v/>
      </c>
      <c r="F15" s="14" t="str">
        <f>_xlfn.SINGLE(_xlfn.IFNA(VLOOKUP($C15,'פרטים אישיים'!$D$4:$G$100,4,FALSE),""))</f>
        <v/>
      </c>
      <c r="G15" s="1"/>
      <c r="H15" s="1"/>
      <c r="I15" s="1"/>
      <c r="J15" s="1"/>
      <c r="K15" s="1"/>
      <c r="L15" s="1"/>
      <c r="M15" s="1"/>
      <c r="O15" s="5"/>
      <c r="P15" s="6" t="str">
        <f>_xlfn.SINGLE(_xlfn.IFNA(VLOOKUP($O15,'פרטים אישיים'!$D$4:$G$100,2,FALSE),""))</f>
        <v/>
      </c>
      <c r="Q15" s="7" t="str">
        <f>_xlfn.SINGLE(_xlfn.IFNA(VLOOKUP($O15,'פרטים אישיים'!$D$4:$G$100,3,FALSE),""))</f>
        <v/>
      </c>
      <c r="R15" s="8" t="str">
        <f>_xlfn.SINGLE(_xlfn.IFNA(VLOOKUP($O15,'פרטים אישיים'!$D$4:$G$100,4,FALSE),""))</f>
        <v/>
      </c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"/>
      <c r="C16" s="1"/>
      <c r="D16" s="1"/>
      <c r="E16" s="1"/>
      <c r="F16" s="1"/>
      <c r="G16" s="1"/>
      <c r="H16" s="2"/>
      <c r="I16" s="47" t="s">
        <v>13</v>
      </c>
      <c r="J16" s="48"/>
      <c r="K16" s="2"/>
      <c r="L16" s="2"/>
      <c r="M16" s="1"/>
      <c r="O16" s="10"/>
      <c r="P16" s="6" t="str">
        <f>_xlfn.SINGLE(_xlfn.IFNA(VLOOKUP($O16,'פרטים אישיים'!$D$4:$G$100,2,FALSE),""))</f>
        <v/>
      </c>
      <c r="Q16" s="7" t="str">
        <f>_xlfn.SINGLE(_xlfn.IFNA(VLOOKUP($O16,'פרטים אישיים'!$D$4:$G$100,3,FALSE),""))</f>
        <v/>
      </c>
      <c r="R16" s="8" t="str">
        <f>_xlfn.SINGLE(_xlfn.IFNA(VLOOKUP($O16,'פרטים אישיים'!$D$4:$G$100,4,FALSE),""))</f>
        <v/>
      </c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1"/>
      <c r="G17" s="1"/>
      <c r="H17" s="2"/>
      <c r="I17" s="4" t="s">
        <v>4</v>
      </c>
      <c r="J17" s="4" t="s">
        <v>5</v>
      </c>
      <c r="K17" s="4" t="s">
        <v>6</v>
      </c>
      <c r="L17" s="4" t="s">
        <v>7</v>
      </c>
      <c r="M17" s="1"/>
      <c r="N17" s="1"/>
      <c r="O17" s="15"/>
      <c r="P17" s="16" t="str">
        <f>_xlfn.SINGLE(_xlfn.IFNA(VLOOKUP($O17,'פרטים אישיים'!$D$4:$G$100,2,FALSE),""))</f>
        <v/>
      </c>
      <c r="Q17" s="7" t="str">
        <f>_xlfn.SINGLE(_xlfn.IFNA(VLOOKUP($O17,'פרטים אישיים'!$D$4:$G$100,3,FALSE),""))</f>
        <v/>
      </c>
      <c r="R17" s="8" t="str">
        <f>_xlfn.SINGLE(_xlfn.IFNA(VLOOKUP($O17,'פרטים אישיים'!$D$4:$G$100,4,FALSE),""))</f>
        <v/>
      </c>
      <c r="S17" s="1"/>
      <c r="T17" s="1"/>
      <c r="U17" s="49" t="s">
        <v>14</v>
      </c>
      <c r="V17" s="48"/>
      <c r="W17" s="1"/>
      <c r="X17" s="1"/>
      <c r="Y17" s="1"/>
      <c r="Z17" s="1"/>
    </row>
    <row r="18" spans="1:26" ht="22.5" customHeight="1">
      <c r="A18" s="1"/>
      <c r="B18" s="1"/>
      <c r="C18" s="50" t="s">
        <v>15</v>
      </c>
      <c r="D18" s="48"/>
      <c r="E18" s="1"/>
      <c r="F18" s="1"/>
      <c r="G18" s="1"/>
      <c r="H18" s="2"/>
      <c r="I18" s="5"/>
      <c r="J18" s="6" t="str">
        <f>_xlfn.SINGLE(_xlfn.IFNA(VLOOKUP($I18,'פרטים אישיים'!$D$4:$G$100,2,FALSE),""))</f>
        <v/>
      </c>
      <c r="K18" s="7" t="str">
        <f>_xlfn.SINGLE(_xlfn.IFNA(VLOOKUP($I18,'פרטים אישיים'!$D$4:$G$100,3,FALSE),""))</f>
        <v/>
      </c>
      <c r="L18" s="8" t="str">
        <f>_xlfn.SINGLE(_xlfn.IFNA(VLOOKUP($I18,'פרטים אישיים'!$D$4:$G$100,4,FALSE),""))</f>
        <v/>
      </c>
      <c r="M18" s="1"/>
      <c r="N18" s="1"/>
      <c r="O18" s="15"/>
      <c r="P18" s="16" t="str">
        <f>_xlfn.SINGLE(_xlfn.IFNA(VLOOKUP($O18,'פרטים אישיים'!$D$4:$G$100,2,FALSE),""))</f>
        <v/>
      </c>
      <c r="Q18" s="7" t="str">
        <f>_xlfn.SINGLE(_xlfn.IFNA(VLOOKUP($O18,'פרטים אישיים'!$D$4:$G$100,3,FALSE),""))</f>
        <v/>
      </c>
      <c r="R18" s="8" t="str">
        <f>_xlfn.SINGLE(_xlfn.IFNA(VLOOKUP($O18,'פרטים אישיים'!$D$4:$G$100,4,FALSE),""))</f>
        <v/>
      </c>
      <c r="S18" s="1"/>
      <c r="T18" s="1"/>
      <c r="U18" s="3" t="s">
        <v>4</v>
      </c>
      <c r="V18" s="3" t="s">
        <v>5</v>
      </c>
      <c r="W18" s="3" t="s">
        <v>6</v>
      </c>
      <c r="X18" s="3" t="s">
        <v>7</v>
      </c>
      <c r="Y18" s="1"/>
      <c r="Z18" s="1"/>
    </row>
    <row r="19" spans="1:26" ht="22.5" customHeight="1">
      <c r="A19" s="1"/>
      <c r="B19" s="1"/>
      <c r="C19" s="3" t="s">
        <v>4</v>
      </c>
      <c r="D19" s="3" t="s">
        <v>5</v>
      </c>
      <c r="E19" s="3" t="s">
        <v>6</v>
      </c>
      <c r="F19" s="3" t="s">
        <v>7</v>
      </c>
      <c r="G19" s="1"/>
      <c r="H19" s="2"/>
      <c r="I19" s="5"/>
      <c r="J19" s="6" t="str">
        <f>_xlfn.SINGLE(_xlfn.IFNA(VLOOKUP($I19,'פרטים אישיים'!$D$4:$G$100,2,FALSE),""))</f>
        <v/>
      </c>
      <c r="K19" s="7" t="str">
        <f>_xlfn.SINGLE(_xlfn.IFNA(VLOOKUP($I19,'פרטים אישיים'!$D$4:$G$100,3,FALSE),""))</f>
        <v/>
      </c>
      <c r="L19" s="8" t="str">
        <f>_xlfn.SINGLE(_xlfn.IFNA(VLOOKUP($I19,'פרטים אישיים'!$D$4:$G$100,4,FALSE),""))</f>
        <v/>
      </c>
      <c r="M19" s="1"/>
      <c r="N19" s="1"/>
      <c r="O19" s="15"/>
      <c r="P19" s="16" t="str">
        <f>_xlfn.SINGLE(_xlfn.IFNA(VLOOKUP($O19,'פרטים אישיים'!$D$4:$G$100,2,FALSE),""))</f>
        <v/>
      </c>
      <c r="Q19" s="7" t="str">
        <f>_xlfn.SINGLE(_xlfn.IFNA(VLOOKUP($O19,'פרטים אישיים'!$D$4:$G$100,3,FALSE),""))</f>
        <v/>
      </c>
      <c r="R19" s="8" t="str">
        <f>_xlfn.SINGLE(_xlfn.IFNA(VLOOKUP($O19,'פרטים אישיים'!$D$4:$G$100,4,FALSE),""))</f>
        <v/>
      </c>
      <c r="S19" s="1"/>
      <c r="T19" s="20" t="s">
        <v>16</v>
      </c>
      <c r="U19" s="5"/>
      <c r="V19" s="6" t="str">
        <f>_xlfn.SINGLE(_xlfn.IFNA(VLOOKUP($U19,'פרטים אישיים'!$D$4:$G$100,2,FALSE),""))</f>
        <v/>
      </c>
      <c r="W19" s="7" t="str">
        <f>_xlfn.SINGLE(_xlfn.IFNA(VLOOKUP($U19,'פרטים אישיים'!$D$4:$G$100,3,FALSE),""))</f>
        <v/>
      </c>
      <c r="X19" s="8" t="str">
        <f>_xlfn.SINGLE(_xlfn.IFNA(VLOOKUP($U19,'פרטים אישיים'!$D$4:$G$100,4,FALSE),""))</f>
        <v/>
      </c>
      <c r="Y19" s="1"/>
      <c r="Z19" s="1"/>
    </row>
    <row r="20" spans="1:26" ht="22.5" customHeight="1">
      <c r="A20" s="1"/>
      <c r="B20" s="1"/>
      <c r="C20" s="5"/>
      <c r="D20" s="6" t="str">
        <f>_xlfn.SINGLE(_xlfn.IFNA(VLOOKUP($C20,'פרטים אישיים'!$D$4:$G$100,2,FALSE),""))</f>
        <v/>
      </c>
      <c r="E20" s="7" t="str">
        <f>_xlfn.SINGLE(_xlfn.IFNA(VLOOKUP($C20,'פרטים אישיים'!$D$4:$G$100,3,FALSE),""))</f>
        <v/>
      </c>
      <c r="F20" s="8" t="str">
        <f>_xlfn.SINGLE(_xlfn.IFNA(VLOOKUP($C20,'פרטים אישיים'!$D$4:$G$100,4,FALSE),""))</f>
        <v/>
      </c>
      <c r="G20" s="1"/>
      <c r="H20" s="2"/>
      <c r="I20" s="5"/>
      <c r="J20" s="6" t="str">
        <f>_xlfn.SINGLE(_xlfn.IFNA(VLOOKUP($I20,'פרטים אישיים'!$D$4:$G$100,2,FALSE),""))</f>
        <v/>
      </c>
      <c r="K20" s="7" t="str">
        <f>_xlfn.SINGLE(_xlfn.IFNA(VLOOKUP($I20,'פרטים אישיים'!$D$4:$G$100,3,FALSE),""))</f>
        <v/>
      </c>
      <c r="L20" s="8" t="str">
        <f>_xlfn.SINGLE(_xlfn.IFNA(VLOOKUP($I20,'פרטים אישיים'!$D$4:$G$100,4,FALSE),""))</f>
        <v/>
      </c>
      <c r="M20" s="1"/>
      <c r="N20" s="1"/>
      <c r="O20" s="17"/>
      <c r="P20" s="12" t="str">
        <f>_xlfn.SINGLE(_xlfn.IFNA(VLOOKUP($O20,'פרטים אישיים'!$D$4:$G$100,2,FALSE),""))</f>
        <v/>
      </c>
      <c r="Q20" s="13" t="str">
        <f>_xlfn.SINGLE(_xlfn.IFNA(VLOOKUP($O20,'פרטים אישיים'!$D$4:$G$100,3,FALSE),""))</f>
        <v/>
      </c>
      <c r="R20" s="14" t="str">
        <f>_xlfn.SINGLE(_xlfn.IFNA(VLOOKUP($O20,'פרטים אישיים'!$D$4:$G$100,4,FALSE),""))</f>
        <v/>
      </c>
      <c r="S20" s="1"/>
      <c r="T20" s="20" t="s">
        <v>17</v>
      </c>
      <c r="U20" s="10"/>
      <c r="V20" s="12" t="str">
        <f>_xlfn.SINGLE(_xlfn.IFNA(VLOOKUP($U20,'פרטים אישיים'!$D$4:$G$100,2,FALSE),""))</f>
        <v/>
      </c>
      <c r="W20" s="13" t="str">
        <f>_xlfn.SINGLE(_xlfn.IFNA(VLOOKUP($U20,'פרטים אישיים'!$D$4:$G$100,3,FALSE),""))</f>
        <v/>
      </c>
      <c r="X20" s="14" t="str">
        <f>_xlfn.SINGLE(_xlfn.IFNA(VLOOKUP($U20,'פרטים אישיים'!$D$4:$G$100,4,FALSE),""))</f>
        <v/>
      </c>
      <c r="Y20" s="1"/>
      <c r="Z20" s="1"/>
    </row>
    <row r="21" spans="1:26" ht="22.5" customHeight="1">
      <c r="A21" s="1"/>
      <c r="B21" s="1"/>
      <c r="C21" s="5"/>
      <c r="D21" s="6" t="str">
        <f>_xlfn.SINGLE(_xlfn.IFNA(VLOOKUP($C21,'פרטים אישיים'!$D$4:$G$100,2,FALSE),""))</f>
        <v/>
      </c>
      <c r="E21" s="7" t="str">
        <f>_xlfn.SINGLE(_xlfn.IFNA(VLOOKUP($C21,'פרטים אישיים'!$D$4:$G$100,3,FALSE),""))</f>
        <v/>
      </c>
      <c r="F21" s="8" t="str">
        <f>_xlfn.SINGLE(_xlfn.IFNA(VLOOKUP($C21,'פרטים אישיים'!$D$4:$G$100,4,FALSE),""))</f>
        <v/>
      </c>
      <c r="G21" s="1"/>
      <c r="H21" s="3"/>
      <c r="I21" s="11"/>
      <c r="J21" s="12" t="str">
        <f>_xlfn.SINGLE(_xlfn.IFNA(VLOOKUP($I21,'פרטים אישיים'!$D$4:$G$100,2,FALSE),""))</f>
        <v/>
      </c>
      <c r="K21" s="13" t="str">
        <f>_xlfn.SINGLE(_xlfn.IFNA(VLOOKUP($I21,'פרטים אישיים'!$D$4:$G$100,3,FALSE),""))</f>
        <v/>
      </c>
      <c r="L21" s="14" t="str">
        <f>_xlfn.SINGLE(_xlfn.IFNA(VLOOKUP($I21,'פרטים אישיים'!$D$4:$G$100,4,FALSE),""))</f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1"/>
      <c r="D22" s="12" t="str">
        <f>_xlfn.SINGLE(_xlfn.IFNA(VLOOKUP($C22,'פרטים אישיים'!$D$4:$G$100,2,FALSE),""))</f>
        <v/>
      </c>
      <c r="E22" s="13" t="str">
        <f>_xlfn.SINGLE(_xlfn.IFNA(VLOOKUP($C22,'פרטים אישיים'!$D$4:$G$100,3,FALSE),""))</f>
        <v/>
      </c>
      <c r="F22" s="14" t="str">
        <f>_xlfn.SINGLE(_xlfn.IFNA(VLOOKUP($C22,'פרטים אישיים'!$D$4:$G$100,4,FALSE),""))</f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0">
    <mergeCell ref="I16:J16"/>
    <mergeCell ref="U17:V17"/>
    <mergeCell ref="C18:D18"/>
    <mergeCell ref="C4:D4"/>
    <mergeCell ref="I4:J4"/>
    <mergeCell ref="O4:P4"/>
    <mergeCell ref="U4:V4"/>
    <mergeCell ref="T8:T9"/>
    <mergeCell ref="C11:D11"/>
    <mergeCell ref="O13:P13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'פרטים אישיים'!$D$4:$D$100</xm:f>
          </x14:formula1>
          <xm:sqref>C6:C8 O6:O9 I6:I13 U6:U13 C13:C15 O15:O20 U19:U20 I18:I21 C20:C22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5"/>
  <sheetViews>
    <sheetView rightToLeft="1" zoomScale="70" zoomScaleNormal="70" workbookViewId="0">
      <selection activeCell="C21" sqref="C21"/>
    </sheetView>
  </sheetViews>
  <sheetFormatPr defaultColWidth="12.6328125" defaultRowHeight="15.75" customHeight="1"/>
  <cols>
    <col min="3" max="3" width="20.6328125" customWidth="1"/>
  </cols>
  <sheetData>
    <row r="1" spans="1:26" ht="12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5">
      <c r="A4" s="1"/>
      <c r="B4" s="1"/>
      <c r="C4" s="50" t="s">
        <v>0</v>
      </c>
      <c r="D4" s="48"/>
      <c r="E4" s="1"/>
      <c r="F4" s="1"/>
      <c r="G4" s="1"/>
      <c r="H4" s="2"/>
      <c r="I4" s="47" t="s">
        <v>1</v>
      </c>
      <c r="J4" s="48"/>
      <c r="K4" s="2"/>
      <c r="L4" s="2"/>
      <c r="M4" s="1"/>
      <c r="N4" s="1"/>
      <c r="O4" s="51" t="s">
        <v>2</v>
      </c>
      <c r="P4" s="48"/>
      <c r="Q4" s="1"/>
      <c r="R4" s="1"/>
      <c r="S4" s="1"/>
      <c r="T4" s="2"/>
      <c r="U4" s="52" t="s">
        <v>3</v>
      </c>
      <c r="V4" s="48"/>
      <c r="W4" s="2"/>
      <c r="X4" s="2"/>
      <c r="Y4" s="1"/>
      <c r="Z4" s="1"/>
    </row>
    <row r="5" spans="1:26" ht="22.5" customHeight="1">
      <c r="A5" s="1"/>
      <c r="B5" s="1"/>
      <c r="C5" s="3" t="s">
        <v>4</v>
      </c>
      <c r="D5" s="3" t="s">
        <v>5</v>
      </c>
      <c r="E5" s="3" t="s">
        <v>6</v>
      </c>
      <c r="F5" s="3" t="s">
        <v>7</v>
      </c>
      <c r="G5" s="1"/>
      <c r="H5" s="2"/>
      <c r="I5" s="4" t="s">
        <v>4</v>
      </c>
      <c r="J5" s="4" t="s">
        <v>5</v>
      </c>
      <c r="K5" s="4" t="s">
        <v>6</v>
      </c>
      <c r="L5" s="4" t="s">
        <v>7</v>
      </c>
      <c r="M5" s="1"/>
      <c r="N5" s="1"/>
      <c r="O5" s="3" t="s">
        <v>4</v>
      </c>
      <c r="P5" s="3" t="s">
        <v>5</v>
      </c>
      <c r="Q5" s="3" t="s">
        <v>6</v>
      </c>
      <c r="R5" s="3" t="s">
        <v>7</v>
      </c>
      <c r="S5" s="1"/>
      <c r="T5" s="2"/>
      <c r="U5" s="4" t="s">
        <v>4</v>
      </c>
      <c r="V5" s="4" t="s">
        <v>5</v>
      </c>
      <c r="W5" s="4" t="s">
        <v>6</v>
      </c>
      <c r="X5" s="4" t="s">
        <v>7</v>
      </c>
      <c r="Y5" s="1"/>
      <c r="Z5" s="1"/>
    </row>
    <row r="6" spans="1:26" ht="22.5" customHeight="1">
      <c r="A6" s="1"/>
      <c r="B6" s="1"/>
      <c r="C6" s="5"/>
      <c r="D6" s="6" t="str">
        <f>_xlfn.SINGLE(_xlfn.IFNA(VLOOKUP($C6,'פרטים אישיים'!$D$4:$G$100,2,FALSE),""))</f>
        <v/>
      </c>
      <c r="E6" s="7" t="str">
        <f>_xlfn.SINGLE(_xlfn.IFNA(VLOOKUP($C6,'פרטים אישיים'!$D$4:$G$100,3,FALSE),""))</f>
        <v/>
      </c>
      <c r="F6" s="8" t="str">
        <f>_xlfn.SINGLE(_xlfn.IFNA(VLOOKUP($C6,'פרטים אישיים'!$D$4:$G$100,4,FALSE),""))</f>
        <v/>
      </c>
      <c r="G6" s="1"/>
      <c r="H6" s="2"/>
      <c r="I6" s="5" t="s">
        <v>212</v>
      </c>
      <c r="J6" s="6" t="str">
        <f>_xlfn.SINGLE(_xlfn.IFNA(VLOOKUP($I6,'פרטים אישיים'!$D$4:$G$100,2,FALSE),""))</f>
        <v>050-6422434</v>
      </c>
      <c r="K6" s="7">
        <f>_xlfn.SINGLE(_xlfn.IFNA(VLOOKUP($I6,'פרטים אישיים'!$D$4:$G$100,3,FALSE),""))</f>
        <v>8696787</v>
      </c>
      <c r="L6" s="8">
        <f>_xlfn.SINGLE(_xlfn.IFNA(VLOOKUP($I6,'פרטים אישיים'!$D$4:$G$100,4,FALSE),""))</f>
        <v>0</v>
      </c>
      <c r="M6" s="1"/>
      <c r="N6" s="1"/>
      <c r="O6" s="5"/>
      <c r="P6" s="6" t="str">
        <f>_xlfn.SINGLE(_xlfn.IFNA(VLOOKUP($O6,'פרטים אישיים'!$D$4:$G$100,2,FALSE),""))</f>
        <v/>
      </c>
      <c r="Q6" s="7" t="str">
        <f>_xlfn.SINGLE(_xlfn.IFNA(VLOOKUP($O6,'פרטים אישיים'!$D$4:$G$100,3,FALSE),""))</f>
        <v/>
      </c>
      <c r="R6" s="8" t="str">
        <f>_xlfn.SINGLE(_xlfn.IFNA(VLOOKUP($O6,'פרטים אישיים'!$D$4:$G$100,4,FALSE),""))</f>
        <v/>
      </c>
      <c r="S6" s="1"/>
      <c r="T6" s="9">
        <v>46082</v>
      </c>
      <c r="U6" s="5"/>
      <c r="V6" s="6" t="str">
        <f>_xlfn.SINGLE(_xlfn.IFNA(VLOOKUP($U6,'פרטים אישיים'!$D$4:$G$100,2,FALSE),""))</f>
        <v/>
      </c>
      <c r="W6" s="7" t="str">
        <f>_xlfn.SINGLE(_xlfn.IFNA(VLOOKUP($U6,'פרטים אישיים'!$D$4:$G$100,3,FALSE),""))</f>
        <v/>
      </c>
      <c r="X6" s="8" t="str">
        <f>_xlfn.SINGLE(_xlfn.IFNA(VLOOKUP($U6,'פרטים אישיים'!$D$4:$G$100,4,FALSE),""))</f>
        <v/>
      </c>
      <c r="Y6" s="1"/>
      <c r="Z6" s="1"/>
    </row>
    <row r="7" spans="1:26" ht="22.5" customHeight="1">
      <c r="A7" s="1"/>
      <c r="B7" s="1"/>
      <c r="C7" s="5"/>
      <c r="D7" s="6" t="str">
        <f>_xlfn.SINGLE(_xlfn.IFNA(VLOOKUP($C7,'פרטים אישיים'!$D$4:$G$100,2,FALSE),""))</f>
        <v/>
      </c>
      <c r="E7" s="7" t="str">
        <f>_xlfn.SINGLE(_xlfn.IFNA(VLOOKUP($C7,'פרטים אישיים'!$D$4:$G$100,3,FALSE),""))</f>
        <v/>
      </c>
      <c r="F7" s="8" t="str">
        <f>_xlfn.SINGLE(_xlfn.IFNA(VLOOKUP($C7,'פרטים אישיים'!$D$4:$G$100,4,FALSE),""))</f>
        <v/>
      </c>
      <c r="G7" s="1"/>
      <c r="H7" s="2"/>
      <c r="I7" s="5"/>
      <c r="J7" s="6" t="str">
        <f>_xlfn.SINGLE(_xlfn.IFNA(VLOOKUP($I7,'פרטים אישיים'!$D$4:$G$100,2,FALSE),""))</f>
        <v/>
      </c>
      <c r="K7" s="7" t="str">
        <f>_xlfn.SINGLE(_xlfn.IFNA(VLOOKUP($I7,'פרטים אישיים'!$D$4:$G$100,3,FALSE),""))</f>
        <v/>
      </c>
      <c r="L7" s="8" t="str">
        <f>_xlfn.SINGLE(_xlfn.IFNA(VLOOKUP($I7,'פרטים אישיים'!$D$4:$G$100,4,FALSE),""))</f>
        <v/>
      </c>
      <c r="M7" s="1"/>
      <c r="N7" s="1"/>
      <c r="O7" s="10"/>
      <c r="P7" s="6" t="str">
        <f>_xlfn.SINGLE(_xlfn.IFNA(VLOOKUP($O7,'פרטים אישיים'!$D$4:$G$100,2,FALSE),""))</f>
        <v/>
      </c>
      <c r="Q7" s="7" t="str">
        <f>_xlfn.SINGLE(_xlfn.IFNA(VLOOKUP($O7,'פרטים אישיים'!$D$4:$G$100,3,FALSE),""))</f>
        <v/>
      </c>
      <c r="R7" s="8" t="str">
        <f>_xlfn.SINGLE(_xlfn.IFNA(VLOOKUP($O7,'פרטים אישיים'!$D$4:$G$100,4,FALSE),""))</f>
        <v/>
      </c>
      <c r="S7" s="1"/>
      <c r="T7" s="9">
        <v>46145</v>
      </c>
      <c r="U7" s="5"/>
      <c r="V7" s="6" t="str">
        <f>_xlfn.SINGLE(_xlfn.IFNA(VLOOKUP($U7,'פרטים אישיים'!$D$4:$G$100,2,FALSE),""))</f>
        <v/>
      </c>
      <c r="W7" s="7" t="str">
        <f>_xlfn.SINGLE(_xlfn.IFNA(VLOOKUP($U7,'פרטים אישיים'!$D$4:$G$100,3,FALSE),""))</f>
        <v/>
      </c>
      <c r="X7" s="8" t="str">
        <f>_xlfn.SINGLE(_xlfn.IFNA(VLOOKUP($U7,'פרטים אישיים'!$D$4:$G$100,4,FALSE),""))</f>
        <v/>
      </c>
      <c r="Y7" s="1"/>
      <c r="Z7" s="1"/>
    </row>
    <row r="8" spans="1:26" ht="22.5" customHeight="1">
      <c r="A8" s="1"/>
      <c r="B8" s="1"/>
      <c r="C8" s="11"/>
      <c r="D8" s="12" t="str">
        <f>_xlfn.SINGLE(_xlfn.IFNA(VLOOKUP($C8,'פרטים אישיים'!$D$4:$G$100,2,FALSE),""))</f>
        <v/>
      </c>
      <c r="E8" s="13" t="str">
        <f>_xlfn.SINGLE(_xlfn.IFNA(VLOOKUP($C8,'פרטים אישיים'!$D$4:$G$100,3,FALSE),""))</f>
        <v/>
      </c>
      <c r="F8" s="14" t="str">
        <f>_xlfn.SINGLE(_xlfn.IFNA(VLOOKUP($C8,'פרטים אישיים'!$D$4:$G$100,4,FALSE),""))</f>
        <v/>
      </c>
      <c r="G8" s="1"/>
      <c r="H8" s="2"/>
      <c r="I8" s="5"/>
      <c r="J8" s="6" t="str">
        <f>_xlfn.SINGLE(_xlfn.IFNA(VLOOKUP($I8,'פרטים אישיים'!$D$4:$G$100,2,FALSE),""))</f>
        <v/>
      </c>
      <c r="K8" s="7" t="str">
        <f>_xlfn.SINGLE(_xlfn.IFNA(VLOOKUP($I8,'פרטים אישיים'!$D$4:$G$100,3,FALSE),""))</f>
        <v/>
      </c>
      <c r="L8" s="8" t="str">
        <f>_xlfn.SINGLE(_xlfn.IFNA(VLOOKUP($I8,'פרטים אישיים'!$D$4:$G$100,4,FALSE),""))</f>
        <v/>
      </c>
      <c r="M8" s="1"/>
      <c r="N8" s="1"/>
      <c r="O8" s="15"/>
      <c r="P8" s="16" t="str">
        <f>_xlfn.SINGLE(_xlfn.IFNA(VLOOKUP($O8,'פרטים אישיים'!$D$4:$G$100,2,FALSE),""))</f>
        <v/>
      </c>
      <c r="Q8" s="7" t="str">
        <f>_xlfn.SINGLE(_xlfn.IFNA(VLOOKUP($O8,'פרטים אישיים'!$D$4:$G$100,3,FALSE),""))</f>
        <v/>
      </c>
      <c r="R8" s="8" t="str">
        <f>_xlfn.SINGLE(_xlfn.IFNA(VLOOKUP($O8,'פרטים אישיים'!$D$4:$G$100,4,FALSE),""))</f>
        <v/>
      </c>
      <c r="S8" s="1"/>
      <c r="T8" s="53">
        <v>46208</v>
      </c>
      <c r="U8" s="5"/>
      <c r="V8" s="6" t="str">
        <f>_xlfn.SINGLE(_xlfn.IFNA(VLOOKUP($U8,'פרטים אישיים'!$D$4:$G$100,2,FALSE),""))</f>
        <v/>
      </c>
      <c r="W8" s="7" t="str">
        <f>_xlfn.SINGLE(_xlfn.IFNA(VLOOKUP($U8,'פרטים אישיים'!$D$4:$G$100,3,FALSE),""))</f>
        <v/>
      </c>
      <c r="X8" s="8" t="str">
        <f>_xlfn.SINGLE(_xlfn.IFNA(VLOOKUP($U8,'פרטים אישיים'!$D$4:$G$100,4,FALSE),""))</f>
        <v/>
      </c>
      <c r="Y8" s="1"/>
      <c r="Z8" s="1"/>
    </row>
    <row r="9" spans="1:26" ht="22.5" customHeight="1">
      <c r="A9" s="1"/>
      <c r="B9" s="1"/>
      <c r="C9" s="1"/>
      <c r="D9" s="1"/>
      <c r="E9" s="1"/>
      <c r="F9" s="1"/>
      <c r="G9" s="1"/>
      <c r="H9" s="3"/>
      <c r="I9" s="5"/>
      <c r="J9" s="6" t="str">
        <f>_xlfn.SINGLE(_xlfn.IFNA(VLOOKUP($I9,'פרטים אישיים'!$D$4:$G$100,2,FALSE),""))</f>
        <v/>
      </c>
      <c r="K9" s="7" t="str">
        <f>_xlfn.SINGLE(_xlfn.IFNA(VLOOKUP($I9,'פרטים אישיים'!$D$4:$G$100,3,FALSE),""))</f>
        <v/>
      </c>
      <c r="L9" s="8" t="str">
        <f>_xlfn.SINGLE(_xlfn.IFNA(VLOOKUP($I9,'פרטים אישיים'!$D$4:$G$100,4,FALSE),""))</f>
        <v/>
      </c>
      <c r="M9" s="1"/>
      <c r="N9" s="1"/>
      <c r="O9" s="17"/>
      <c r="P9" s="12" t="str">
        <f>_xlfn.SINGLE(_xlfn.IFNA(VLOOKUP($O9,'פרטים אישיים'!$D$4:$G$100,2,FALSE),""))</f>
        <v/>
      </c>
      <c r="Q9" s="13" t="str">
        <f>_xlfn.SINGLE(_xlfn.IFNA(VLOOKUP($O9,'פרטים אישיים'!$D$4:$G$100,3,FALSE),""))</f>
        <v/>
      </c>
      <c r="R9" s="14" t="str">
        <f>_xlfn.SINGLE(_xlfn.IFNA(VLOOKUP($O9,'פרטים אישיים'!$D$4:$G$100,4,FALSE),""))</f>
        <v/>
      </c>
      <c r="S9" s="1"/>
      <c r="T9" s="48"/>
      <c r="U9" s="5"/>
      <c r="V9" s="6" t="str">
        <f>_xlfn.SINGLE(_xlfn.IFNA(VLOOKUP($U9,'פרטים אישיים'!$D$4:$G$100,2,FALSE),""))</f>
        <v/>
      </c>
      <c r="W9" s="7" t="str">
        <f>_xlfn.SINGLE(_xlfn.IFNA(VLOOKUP($U9,'פרטים אישיים'!$D$4:$G$100,3,FALSE),""))</f>
        <v/>
      </c>
      <c r="X9" s="8" t="str">
        <f>_xlfn.SINGLE(_xlfn.IFNA(VLOOKUP($U9,'פרטים אישיים'!$D$4:$G$100,4,FALSE),""))</f>
        <v/>
      </c>
      <c r="Y9" s="1"/>
      <c r="Z9" s="1"/>
    </row>
    <row r="10" spans="1:26" ht="22.5" customHeight="1">
      <c r="A10" s="1"/>
      <c r="B10" s="1"/>
      <c r="C10" s="1"/>
      <c r="D10" s="1"/>
      <c r="E10" s="1"/>
      <c r="F10" s="1"/>
      <c r="G10" s="1"/>
      <c r="H10" s="3"/>
      <c r="I10" s="5"/>
      <c r="J10" s="6" t="str">
        <f>_xlfn.SINGLE(_xlfn.IFNA(VLOOKUP($I10,'פרטים אישיים'!$D$4:$G$100,2,FALSE),""))</f>
        <v/>
      </c>
      <c r="K10" s="7" t="str">
        <f>_xlfn.SINGLE(_xlfn.IFNA(VLOOKUP($I10,'פרטים אישיים'!$D$4:$G$100,3,FALSE),""))</f>
        <v/>
      </c>
      <c r="L10" s="8" t="str">
        <f>_xlfn.SINGLE(_xlfn.IFNA(VLOOKUP($I10,'פרטים אישיים'!$D$4:$G$100,4,FALSE),""))</f>
        <v/>
      </c>
      <c r="M10" s="1"/>
      <c r="N10" s="1"/>
      <c r="O10" s="1"/>
      <c r="P10" s="1"/>
      <c r="Q10" s="1"/>
      <c r="R10" s="1"/>
      <c r="S10" s="18" t="s">
        <v>8</v>
      </c>
      <c r="T10" s="3" t="s">
        <v>9</v>
      </c>
      <c r="U10" s="5"/>
      <c r="V10" s="6" t="str">
        <f>_xlfn.SINGLE(_xlfn.IFNA(VLOOKUP($U10,'פרטים אישיים'!$D$4:$G$100,2,FALSE),""))</f>
        <v/>
      </c>
      <c r="W10" s="7" t="str">
        <f>_xlfn.SINGLE(_xlfn.IFNA(VLOOKUP($U10,'פרטים אישיים'!$D$4:$G$100,3,FALSE),""))</f>
        <v/>
      </c>
      <c r="X10" s="8" t="str">
        <f>_xlfn.SINGLE(_xlfn.IFNA(VLOOKUP($U10,'פרטים אישיים'!$D$4:$G$100,4,FALSE),""))</f>
        <v/>
      </c>
      <c r="Y10" s="1"/>
      <c r="Z10" s="1"/>
    </row>
    <row r="11" spans="1:26" ht="22.5" customHeight="1">
      <c r="A11" s="1"/>
      <c r="B11" s="1"/>
      <c r="C11" s="50" t="s">
        <v>10</v>
      </c>
      <c r="D11" s="48"/>
      <c r="E11" s="1"/>
      <c r="F11" s="1"/>
      <c r="G11" s="1"/>
      <c r="H11" s="3"/>
      <c r="I11" s="5"/>
      <c r="J11" s="6" t="str">
        <f>_xlfn.SINGLE(_xlfn.IFNA(VLOOKUP($I11,'פרטים אישיים'!$D$4:$G$100,2,FALSE),""))</f>
        <v/>
      </c>
      <c r="K11" s="7" t="str">
        <f>_xlfn.SINGLE(_xlfn.IFNA(VLOOKUP($I11,'פרטים אישיים'!$D$4:$G$100,3,FALSE),""))</f>
        <v/>
      </c>
      <c r="L11" s="8" t="str">
        <f>_xlfn.SINGLE(_xlfn.IFNA(VLOOKUP($I11,'פרטים אישיים'!$D$4:$G$100,4,FALSE),""))</f>
        <v/>
      </c>
      <c r="M11" s="1"/>
      <c r="N11" s="1"/>
      <c r="O11" s="1"/>
      <c r="P11" s="1"/>
      <c r="Q11" s="1"/>
      <c r="R11" s="1"/>
      <c r="S11" s="1"/>
      <c r="T11" s="19">
        <v>46272</v>
      </c>
      <c r="U11" s="5"/>
      <c r="V11" s="6" t="str">
        <f>_xlfn.SINGLE(_xlfn.IFNA(VLOOKUP($U11,'פרטים אישיים'!$D$4:$G$100,2,FALSE),""))</f>
        <v/>
      </c>
      <c r="W11" s="7" t="str">
        <f>_xlfn.SINGLE(_xlfn.IFNA(VLOOKUP($U11,'פרטים אישיים'!$D$4:$G$100,3,FALSE),""))</f>
        <v/>
      </c>
      <c r="X11" s="8" t="str">
        <f>_xlfn.SINGLE(_xlfn.IFNA(VLOOKUP($U11,'פרטים אישיים'!$D$4:$G$100,4,FALSE),""))</f>
        <v/>
      </c>
      <c r="Y11" s="1"/>
      <c r="Z11" s="1"/>
    </row>
    <row r="12" spans="1:26" ht="22.5" customHeight="1">
      <c r="A12" s="1"/>
      <c r="B12" s="1"/>
      <c r="C12" s="3" t="s">
        <v>4</v>
      </c>
      <c r="D12" s="3" t="s">
        <v>5</v>
      </c>
      <c r="E12" s="3" t="s">
        <v>6</v>
      </c>
      <c r="F12" s="3" t="s">
        <v>7</v>
      </c>
      <c r="G12" s="1"/>
      <c r="H12" s="3"/>
      <c r="I12" s="5"/>
      <c r="J12" s="6" t="str">
        <f>_xlfn.SINGLE(_xlfn.IFNA(VLOOKUP($I12,'פרטים אישיים'!$D$4:$G$100,2,FALSE),""))</f>
        <v/>
      </c>
      <c r="K12" s="7" t="str">
        <f>_xlfn.SINGLE(_xlfn.IFNA(VLOOKUP($I12,'פרטים אישיים'!$D$4:$G$100,3,FALSE),""))</f>
        <v/>
      </c>
      <c r="L12" s="8" t="str">
        <f>_xlfn.SINGLE(_xlfn.IFNA(VLOOKUP($I12,'פרטים אישיים'!$D$4:$G$100,4,FALSE),""))</f>
        <v/>
      </c>
      <c r="M12" s="1"/>
      <c r="O12" s="1"/>
      <c r="P12" s="1"/>
      <c r="Q12" s="1"/>
      <c r="R12" s="1"/>
      <c r="S12" s="1"/>
      <c r="T12" s="19">
        <v>46335</v>
      </c>
      <c r="U12" s="5"/>
      <c r="V12" s="6" t="str">
        <f>_xlfn.SINGLE(_xlfn.IFNA(VLOOKUP($U12,'פרטים אישיים'!$D$4:$G$100,2,FALSE),""))</f>
        <v/>
      </c>
      <c r="W12" s="7" t="str">
        <f>_xlfn.SINGLE(_xlfn.IFNA(VLOOKUP($U12,'פרטים אישיים'!$D$4:$G$100,3,FALSE),""))</f>
        <v/>
      </c>
      <c r="X12" s="8" t="str">
        <f>_xlfn.SINGLE(_xlfn.IFNA(VLOOKUP($U12,'פרטים אישיים'!$D$4:$G$100,4,FALSE),""))</f>
        <v/>
      </c>
      <c r="Y12" s="1"/>
      <c r="Z12" s="1"/>
    </row>
    <row r="13" spans="1:26" ht="22.5" customHeight="1">
      <c r="A13" s="1"/>
      <c r="B13" s="1"/>
      <c r="C13" s="5"/>
      <c r="D13" s="6" t="str">
        <f>_xlfn.SINGLE(_xlfn.IFNA(VLOOKUP($C13,'פרטים אישיים'!$D$4:$G$100,2,FALSE),""))</f>
        <v/>
      </c>
      <c r="E13" s="7" t="str">
        <f>_xlfn.SINGLE(_xlfn.IFNA(VLOOKUP($C13,'פרטים אישיים'!$D$4:$G$100,3,FALSE),""))</f>
        <v/>
      </c>
      <c r="F13" s="8" t="str">
        <f>_xlfn.SINGLE(_xlfn.IFNA(VLOOKUP($C13,'פרטים אישיים'!$D$4:$G$100,4,FALSE),""))</f>
        <v/>
      </c>
      <c r="G13" s="1"/>
      <c r="H13" s="3"/>
      <c r="I13" s="11"/>
      <c r="J13" s="12" t="str">
        <f>_xlfn.SINGLE(_xlfn.IFNA(VLOOKUP($I13,'פרטים אישיים'!$D$4:$G$100,2,FALSE),""))</f>
        <v/>
      </c>
      <c r="K13" s="13" t="str">
        <f>_xlfn.SINGLE(_xlfn.IFNA(VLOOKUP($I13,'פרטים אישיים'!$D$4:$G$100,3,FALSE),""))</f>
        <v/>
      </c>
      <c r="L13" s="14" t="str">
        <f>_xlfn.SINGLE(_xlfn.IFNA(VLOOKUP($I13,'פרטים אישיים'!$D$4:$G$100,4,FALSE),""))</f>
        <v/>
      </c>
      <c r="M13" s="1"/>
      <c r="O13" s="51" t="s">
        <v>11</v>
      </c>
      <c r="P13" s="48"/>
      <c r="Q13" s="1"/>
      <c r="R13" s="1"/>
      <c r="S13" s="1"/>
      <c r="T13" s="3" t="s">
        <v>12</v>
      </c>
      <c r="U13" s="11"/>
      <c r="V13" s="12" t="str">
        <f>_xlfn.SINGLE(_xlfn.IFNA(VLOOKUP($U13,'פרטים אישיים'!$D$4:$G$100,2,FALSE),""))</f>
        <v/>
      </c>
      <c r="W13" s="13" t="str">
        <f>_xlfn.SINGLE(_xlfn.IFNA(VLOOKUP($U13,'פרטים אישיים'!$D$4:$G$100,3,FALSE),""))</f>
        <v/>
      </c>
      <c r="X13" s="14" t="str">
        <f>_xlfn.SINGLE(_xlfn.IFNA(VLOOKUP($U13,'פרטים אישיים'!$D$4:$G$100,4,FALSE),""))</f>
        <v/>
      </c>
      <c r="Y13" s="1"/>
      <c r="Z13" s="1"/>
    </row>
    <row r="14" spans="1:26" ht="22.5" customHeight="1">
      <c r="A14" s="1"/>
      <c r="B14" s="1"/>
      <c r="C14" s="5"/>
      <c r="D14" s="6" t="str">
        <f>_xlfn.SINGLE(_xlfn.IFNA(VLOOKUP($C14,'פרטים אישיים'!$D$4:$G$100,2,FALSE),""))</f>
        <v/>
      </c>
      <c r="E14" s="7" t="str">
        <f>_xlfn.SINGLE(_xlfn.IFNA(VLOOKUP($C14,'פרטים אישיים'!$D$4:$G$100,3,FALSE),""))</f>
        <v/>
      </c>
      <c r="F14" s="8" t="str">
        <f>_xlfn.SINGLE(_xlfn.IFNA(VLOOKUP($C14,'פרטים אישיים'!$D$4:$G$100,4,FALSE),""))</f>
        <v/>
      </c>
      <c r="G14" s="1"/>
      <c r="H14" s="1"/>
      <c r="I14" s="1"/>
      <c r="J14" s="1"/>
      <c r="K14" s="1"/>
      <c r="L14" s="1"/>
      <c r="M14" s="1"/>
      <c r="O14" s="3" t="s">
        <v>4</v>
      </c>
      <c r="P14" s="3" t="s">
        <v>5</v>
      </c>
      <c r="Q14" s="3" t="s">
        <v>6</v>
      </c>
      <c r="R14" s="3" t="s">
        <v>7</v>
      </c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"/>
      <c r="C15" s="11"/>
      <c r="D15" s="12" t="str">
        <f>_xlfn.SINGLE(_xlfn.IFNA(VLOOKUP($C15,'פרטים אישיים'!$D$4:$G$100,2,FALSE),""))</f>
        <v/>
      </c>
      <c r="E15" s="13" t="str">
        <f>_xlfn.SINGLE(_xlfn.IFNA(VLOOKUP($C15,'פרטים אישיים'!$D$4:$G$100,3,FALSE),""))</f>
        <v/>
      </c>
      <c r="F15" s="14" t="str">
        <f>_xlfn.SINGLE(_xlfn.IFNA(VLOOKUP($C15,'פרטים אישיים'!$D$4:$G$100,4,FALSE),""))</f>
        <v/>
      </c>
      <c r="G15" s="1"/>
      <c r="H15" s="1"/>
      <c r="I15" s="1"/>
      <c r="J15" s="1"/>
      <c r="K15" s="1"/>
      <c r="L15" s="1"/>
      <c r="M15" s="1"/>
      <c r="O15" s="5"/>
      <c r="P15" s="6" t="str">
        <f>_xlfn.SINGLE(_xlfn.IFNA(VLOOKUP($O15,'פרטים אישיים'!$D$4:$G$100,2,FALSE),""))</f>
        <v/>
      </c>
      <c r="Q15" s="7" t="str">
        <f>_xlfn.SINGLE(_xlfn.IFNA(VLOOKUP($O15,'פרטים אישיים'!$D$4:$G$100,3,FALSE),""))</f>
        <v/>
      </c>
      <c r="R15" s="8" t="str">
        <f>_xlfn.SINGLE(_xlfn.IFNA(VLOOKUP($O15,'פרטים אישיים'!$D$4:$G$100,4,FALSE),""))</f>
        <v/>
      </c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"/>
      <c r="C16" s="1"/>
      <c r="D16" s="1"/>
      <c r="E16" s="1"/>
      <c r="F16" s="1"/>
      <c r="G16" s="1"/>
      <c r="H16" s="2"/>
      <c r="I16" s="47" t="s">
        <v>13</v>
      </c>
      <c r="J16" s="48"/>
      <c r="K16" s="2"/>
      <c r="L16" s="2"/>
      <c r="M16" s="1"/>
      <c r="O16" s="10"/>
      <c r="P16" s="6" t="str">
        <f>_xlfn.SINGLE(_xlfn.IFNA(VLOOKUP($O16,'פרטים אישיים'!$D$4:$G$100,2,FALSE),""))</f>
        <v/>
      </c>
      <c r="Q16" s="7" t="str">
        <f>_xlfn.SINGLE(_xlfn.IFNA(VLOOKUP($O16,'פרטים אישיים'!$D$4:$G$100,3,FALSE),""))</f>
        <v/>
      </c>
      <c r="R16" s="8" t="str">
        <f>_xlfn.SINGLE(_xlfn.IFNA(VLOOKUP($O16,'פרטים אישיים'!$D$4:$G$100,4,FALSE),""))</f>
        <v/>
      </c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1"/>
      <c r="G17" s="1"/>
      <c r="H17" s="2"/>
      <c r="I17" s="4" t="s">
        <v>4</v>
      </c>
      <c r="J17" s="4" t="s">
        <v>5</v>
      </c>
      <c r="K17" s="4" t="s">
        <v>6</v>
      </c>
      <c r="L17" s="4" t="s">
        <v>7</v>
      </c>
      <c r="M17" s="1"/>
      <c r="N17" s="1"/>
      <c r="O17" s="15"/>
      <c r="P17" s="16" t="str">
        <f>_xlfn.SINGLE(_xlfn.IFNA(VLOOKUP($O17,'פרטים אישיים'!$D$4:$G$100,2,FALSE),""))</f>
        <v/>
      </c>
      <c r="Q17" s="7" t="str">
        <f>_xlfn.SINGLE(_xlfn.IFNA(VLOOKUP($O17,'פרטים אישיים'!$D$4:$G$100,3,FALSE),""))</f>
        <v/>
      </c>
      <c r="R17" s="8" t="str">
        <f>_xlfn.SINGLE(_xlfn.IFNA(VLOOKUP($O17,'פרטים אישיים'!$D$4:$G$100,4,FALSE),""))</f>
        <v/>
      </c>
      <c r="S17" s="1"/>
      <c r="T17" s="1"/>
      <c r="U17" s="49" t="s">
        <v>14</v>
      </c>
      <c r="V17" s="48"/>
      <c r="W17" s="1"/>
      <c r="X17" s="1"/>
      <c r="Y17" s="1"/>
      <c r="Z17" s="1"/>
    </row>
    <row r="18" spans="1:26" ht="22.5" customHeight="1">
      <c r="A18" s="1"/>
      <c r="B18" s="1"/>
      <c r="C18" s="50" t="s">
        <v>15</v>
      </c>
      <c r="D18" s="48"/>
      <c r="E18" s="1"/>
      <c r="F18" s="1"/>
      <c r="G18" s="1"/>
      <c r="H18" s="2"/>
      <c r="I18" s="5"/>
      <c r="J18" s="6" t="str">
        <f>_xlfn.SINGLE(_xlfn.IFNA(VLOOKUP($I18,'פרטים אישיים'!$D$4:$G$100,2,FALSE),""))</f>
        <v/>
      </c>
      <c r="K18" s="7" t="str">
        <f>_xlfn.SINGLE(_xlfn.IFNA(VLOOKUP($I18,'פרטים אישיים'!$D$4:$G$100,3,FALSE),""))</f>
        <v/>
      </c>
      <c r="L18" s="8" t="str">
        <f>_xlfn.SINGLE(_xlfn.IFNA(VLOOKUP($I18,'פרטים אישיים'!$D$4:$G$100,4,FALSE),""))</f>
        <v/>
      </c>
      <c r="M18" s="1"/>
      <c r="N18" s="1"/>
      <c r="O18" s="15"/>
      <c r="P18" s="16" t="str">
        <f>_xlfn.SINGLE(_xlfn.IFNA(VLOOKUP($O18,'פרטים אישיים'!$D$4:$G$100,2,FALSE),""))</f>
        <v/>
      </c>
      <c r="Q18" s="7" t="str">
        <f>_xlfn.SINGLE(_xlfn.IFNA(VLOOKUP($O18,'פרטים אישיים'!$D$4:$G$100,3,FALSE),""))</f>
        <v/>
      </c>
      <c r="R18" s="8" t="str">
        <f>_xlfn.SINGLE(_xlfn.IFNA(VLOOKUP($O18,'פרטים אישיים'!$D$4:$G$100,4,FALSE),""))</f>
        <v/>
      </c>
      <c r="S18" s="1"/>
      <c r="T18" s="1"/>
      <c r="U18" s="3" t="s">
        <v>4</v>
      </c>
      <c r="V18" s="3" t="s">
        <v>5</v>
      </c>
      <c r="W18" s="3" t="s">
        <v>6</v>
      </c>
      <c r="X18" s="3" t="s">
        <v>7</v>
      </c>
      <c r="Y18" s="1"/>
      <c r="Z18" s="1"/>
    </row>
    <row r="19" spans="1:26" ht="22.5" customHeight="1">
      <c r="A19" s="1"/>
      <c r="B19" s="1"/>
      <c r="C19" s="3" t="s">
        <v>4</v>
      </c>
      <c r="D19" s="3" t="s">
        <v>5</v>
      </c>
      <c r="E19" s="3" t="s">
        <v>6</v>
      </c>
      <c r="F19" s="3" t="s">
        <v>7</v>
      </c>
      <c r="G19" s="1"/>
      <c r="H19" s="2"/>
      <c r="I19" s="5"/>
      <c r="J19" s="6" t="str">
        <f>_xlfn.SINGLE(_xlfn.IFNA(VLOOKUP($I19,'פרטים אישיים'!$D$4:$G$100,2,FALSE),""))</f>
        <v/>
      </c>
      <c r="K19" s="7" t="str">
        <f>_xlfn.SINGLE(_xlfn.IFNA(VLOOKUP($I19,'פרטים אישיים'!$D$4:$G$100,3,FALSE),""))</f>
        <v/>
      </c>
      <c r="L19" s="8" t="str">
        <f>_xlfn.SINGLE(_xlfn.IFNA(VLOOKUP($I19,'פרטים אישיים'!$D$4:$G$100,4,FALSE),""))</f>
        <v/>
      </c>
      <c r="M19" s="1"/>
      <c r="N19" s="1"/>
      <c r="O19" s="15"/>
      <c r="P19" s="16" t="str">
        <f>_xlfn.SINGLE(_xlfn.IFNA(VLOOKUP($O19,'פרטים אישיים'!$D$4:$G$100,2,FALSE),""))</f>
        <v/>
      </c>
      <c r="Q19" s="7" t="str">
        <f>_xlfn.SINGLE(_xlfn.IFNA(VLOOKUP($O19,'פרטים אישיים'!$D$4:$G$100,3,FALSE),""))</f>
        <v/>
      </c>
      <c r="R19" s="8" t="str">
        <f>_xlfn.SINGLE(_xlfn.IFNA(VLOOKUP($O19,'פרטים אישיים'!$D$4:$G$100,4,FALSE),""))</f>
        <v/>
      </c>
      <c r="S19" s="1"/>
      <c r="T19" s="20" t="s">
        <v>16</v>
      </c>
      <c r="U19" s="5"/>
      <c r="V19" s="6" t="str">
        <f>_xlfn.SINGLE(_xlfn.IFNA(VLOOKUP($U19,'פרטים אישיים'!$D$4:$G$100,2,FALSE),""))</f>
        <v/>
      </c>
      <c r="W19" s="7" t="str">
        <f>_xlfn.SINGLE(_xlfn.IFNA(VLOOKUP($U19,'פרטים אישיים'!$D$4:$G$100,3,FALSE),""))</f>
        <v/>
      </c>
      <c r="X19" s="8" t="str">
        <f>_xlfn.SINGLE(_xlfn.IFNA(VLOOKUP($U19,'פרטים אישיים'!$D$4:$G$100,4,FALSE),""))</f>
        <v/>
      </c>
      <c r="Y19" s="1"/>
      <c r="Z19" s="1"/>
    </row>
    <row r="20" spans="1:26" ht="22.5" customHeight="1">
      <c r="A20" s="1"/>
      <c r="B20" s="1"/>
      <c r="C20" s="5" t="s">
        <v>18</v>
      </c>
      <c r="D20" s="6" t="str">
        <f>_xlfn.SINGLE(_xlfn.IFNA(VLOOKUP($C20,'פרטים אישיים'!$D$4:$G$100,2,FALSE),""))</f>
        <v>058-6644228</v>
      </c>
      <c r="E20" s="7">
        <f>_xlfn.SINGLE(_xlfn.IFNA(VLOOKUP($C20,'פרטים אישיים'!$D$4:$G$100,3,FALSE),""))</f>
        <v>8264943</v>
      </c>
      <c r="F20" s="8" t="str">
        <f>_xlfn.SINGLE(_xlfn.IFNA(VLOOKUP($C20,'פרטים אישיים'!$D$4:$G$100,4,FALSE),""))</f>
        <v>מ"מ</v>
      </c>
      <c r="G20" s="1"/>
      <c r="H20" s="2"/>
      <c r="I20" s="5"/>
      <c r="J20" s="6" t="str">
        <f>_xlfn.SINGLE(_xlfn.IFNA(VLOOKUP($I20,'פרטים אישיים'!$D$4:$G$100,2,FALSE),""))</f>
        <v/>
      </c>
      <c r="K20" s="7" t="str">
        <f>_xlfn.SINGLE(_xlfn.IFNA(VLOOKUP($I20,'פרטים אישיים'!$D$4:$G$100,3,FALSE),""))</f>
        <v/>
      </c>
      <c r="L20" s="8" t="str">
        <f>_xlfn.SINGLE(_xlfn.IFNA(VLOOKUP($I20,'פרטים אישיים'!$D$4:$G$100,4,FALSE),""))</f>
        <v/>
      </c>
      <c r="M20" s="1"/>
      <c r="N20" s="1"/>
      <c r="O20" s="17"/>
      <c r="P20" s="12" t="str">
        <f>_xlfn.SINGLE(_xlfn.IFNA(VLOOKUP($O20,'פרטים אישיים'!$D$4:$G$100,2,FALSE),""))</f>
        <v/>
      </c>
      <c r="Q20" s="13" t="str">
        <f>_xlfn.SINGLE(_xlfn.IFNA(VLOOKUP($O20,'פרטים אישיים'!$D$4:$G$100,3,FALSE),""))</f>
        <v/>
      </c>
      <c r="R20" s="14" t="str">
        <f>_xlfn.SINGLE(_xlfn.IFNA(VLOOKUP($O20,'פרטים אישיים'!$D$4:$G$100,4,FALSE),""))</f>
        <v/>
      </c>
      <c r="S20" s="1"/>
      <c r="T20" s="20" t="s">
        <v>17</v>
      </c>
      <c r="U20" s="10"/>
      <c r="V20" s="12" t="str">
        <f>_xlfn.SINGLE(_xlfn.IFNA(VLOOKUP($U20,'פרטים אישיים'!$D$4:$G$100,2,FALSE),""))</f>
        <v/>
      </c>
      <c r="W20" s="13" t="str">
        <f>_xlfn.SINGLE(_xlfn.IFNA(VLOOKUP($U20,'פרטים אישיים'!$D$4:$G$100,3,FALSE),""))</f>
        <v/>
      </c>
      <c r="X20" s="14" t="str">
        <f>_xlfn.SINGLE(_xlfn.IFNA(VLOOKUP($U20,'פרטים אישיים'!$D$4:$G$100,4,FALSE),""))</f>
        <v/>
      </c>
      <c r="Y20" s="1"/>
      <c r="Z20" s="1"/>
    </row>
    <row r="21" spans="1:26" ht="22.5" customHeight="1">
      <c r="A21" s="1"/>
      <c r="B21" s="1"/>
      <c r="C21" s="5"/>
      <c r="D21" s="6" t="str">
        <f>_xlfn.SINGLE(_xlfn.IFNA(VLOOKUP($C21,'פרטים אישיים'!$D$4:$G$100,2,FALSE),""))</f>
        <v/>
      </c>
      <c r="E21" s="7" t="str">
        <f>_xlfn.SINGLE(_xlfn.IFNA(VLOOKUP($C21,'פרטים אישיים'!$D$4:$G$100,3,FALSE),""))</f>
        <v/>
      </c>
      <c r="F21" s="8" t="str">
        <f>_xlfn.SINGLE(_xlfn.IFNA(VLOOKUP($C21,'פרטים אישיים'!$D$4:$G$100,4,FALSE),""))</f>
        <v/>
      </c>
      <c r="G21" s="1"/>
      <c r="H21" s="3"/>
      <c r="I21" s="11"/>
      <c r="J21" s="12" t="str">
        <f>_xlfn.SINGLE(_xlfn.IFNA(VLOOKUP($I21,'פרטים אישיים'!$D$4:$G$100,2,FALSE),""))</f>
        <v/>
      </c>
      <c r="K21" s="13" t="str">
        <f>_xlfn.SINGLE(_xlfn.IFNA(VLOOKUP($I21,'פרטים אישיים'!$D$4:$G$100,3,FALSE),""))</f>
        <v/>
      </c>
      <c r="L21" s="14" t="str">
        <f>_xlfn.SINGLE(_xlfn.IFNA(VLOOKUP($I21,'פרטים אישיים'!$D$4:$G$100,4,FALSE),""))</f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1"/>
      <c r="D22" s="12" t="str">
        <f>_xlfn.SINGLE(_xlfn.IFNA(VLOOKUP($C22,'פרטים אישיים'!$D$4:$G$100,2,FALSE),""))</f>
        <v/>
      </c>
      <c r="E22" s="13" t="str">
        <f>_xlfn.SINGLE(_xlfn.IFNA(VLOOKUP($C22,'פרטים אישיים'!$D$4:$G$100,3,FALSE),""))</f>
        <v/>
      </c>
      <c r="F22" s="14" t="str">
        <f>_xlfn.SINGLE(_xlfn.IFNA(VLOOKUP($C22,'פרטים אישיים'!$D$4:$G$100,4,FALSE),""))</f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0">
    <mergeCell ref="I16:J16"/>
    <mergeCell ref="U17:V17"/>
    <mergeCell ref="C18:D18"/>
    <mergeCell ref="C4:D4"/>
    <mergeCell ref="I4:J4"/>
    <mergeCell ref="O4:P4"/>
    <mergeCell ref="U4:V4"/>
    <mergeCell ref="T8:T9"/>
    <mergeCell ref="C11:D11"/>
    <mergeCell ref="O13:P13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'פרטים אישיים'!$D$4:$D$100</xm:f>
          </x14:formula1>
          <xm:sqref>C6:C8 O6:O9 I6:I13 U6:U13 C13:C15 O15:O20 U19:U20 I18:I21 C20:C22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E39"/>
  <sheetViews>
    <sheetView rightToLeft="1" topLeftCell="A32" workbookViewId="0">
      <selection activeCell="D41" sqref="D41"/>
    </sheetView>
  </sheetViews>
  <sheetFormatPr defaultColWidth="12.6328125" defaultRowHeight="15.75" customHeight="1"/>
  <cols>
    <col min="3" max="3" width="25.6328125" customWidth="1"/>
    <col min="4" max="4" width="25.453125" customWidth="1"/>
  </cols>
  <sheetData>
    <row r="2" spans="2:5" ht="19">
      <c r="B2" s="21"/>
      <c r="C2" s="22"/>
      <c r="D2" s="22"/>
      <c r="E2" s="21"/>
    </row>
    <row r="3" spans="2:5" ht="22.5" customHeight="1">
      <c r="B3" s="21"/>
      <c r="C3" s="23" t="s">
        <v>4</v>
      </c>
      <c r="D3" s="24" t="s">
        <v>35</v>
      </c>
      <c r="E3" s="21"/>
    </row>
    <row r="4" spans="2:5" ht="22.5" customHeight="1">
      <c r="B4" s="21"/>
      <c r="C4" s="25" t="s">
        <v>36</v>
      </c>
      <c r="D4" s="26" t="s">
        <v>37</v>
      </c>
      <c r="E4" s="21"/>
    </row>
    <row r="5" spans="2:5" ht="22.5" customHeight="1">
      <c r="B5" s="21"/>
      <c r="C5" s="25" t="s">
        <v>38</v>
      </c>
      <c r="D5" s="26" t="s">
        <v>39</v>
      </c>
      <c r="E5" s="21"/>
    </row>
    <row r="6" spans="2:5" ht="22.5" customHeight="1">
      <c r="B6" s="21"/>
      <c r="C6" s="27"/>
      <c r="D6" s="28"/>
      <c r="E6" s="21"/>
    </row>
    <row r="7" spans="2:5" ht="22.5" customHeight="1">
      <c r="B7" s="21"/>
      <c r="C7" s="27"/>
      <c r="D7" s="28"/>
      <c r="E7" s="21"/>
    </row>
    <row r="8" spans="2:5" ht="22.5" customHeight="1">
      <c r="C8" s="25"/>
      <c r="D8" s="26"/>
    </row>
    <row r="9" spans="2:5" ht="22.5" customHeight="1">
      <c r="C9" s="25" t="s">
        <v>40</v>
      </c>
      <c r="D9" s="26" t="s">
        <v>41</v>
      </c>
    </row>
    <row r="10" spans="2:5" ht="22.5" customHeight="1">
      <c r="C10" s="25" t="s">
        <v>42</v>
      </c>
      <c r="D10" s="26" t="s">
        <v>43</v>
      </c>
    </row>
    <row r="11" spans="2:5" ht="22.5" customHeight="1">
      <c r="C11" s="29"/>
      <c r="D11" s="26"/>
    </row>
    <row r="12" spans="2:5" ht="22.5" customHeight="1">
      <c r="C12" s="25" t="s">
        <v>44</v>
      </c>
      <c r="D12" s="26" t="s">
        <v>45</v>
      </c>
    </row>
    <row r="13" spans="2:5" ht="22.5" customHeight="1">
      <c r="C13" s="25" t="s">
        <v>46</v>
      </c>
      <c r="D13" s="26" t="s">
        <v>47</v>
      </c>
    </row>
    <row r="14" spans="2:5" ht="22.5" customHeight="1">
      <c r="C14" s="29"/>
      <c r="D14" s="26"/>
    </row>
    <row r="15" spans="2:5" ht="22.5" customHeight="1">
      <c r="C15" s="25" t="s">
        <v>48</v>
      </c>
      <c r="D15" s="26" t="s">
        <v>49</v>
      </c>
    </row>
    <row r="16" spans="2:5" ht="22.5" customHeight="1">
      <c r="C16" s="25" t="s">
        <v>50</v>
      </c>
      <c r="D16" s="26" t="s">
        <v>51</v>
      </c>
    </row>
    <row r="17" spans="3:4" ht="22.5" customHeight="1">
      <c r="C17" s="29"/>
      <c r="D17" s="30"/>
    </row>
    <row r="18" spans="3:4" ht="22.5" customHeight="1">
      <c r="C18" s="25" t="s">
        <v>52</v>
      </c>
      <c r="D18" s="26" t="s">
        <v>53</v>
      </c>
    </row>
    <row r="19" spans="3:4" ht="22.5" customHeight="1">
      <c r="C19" s="25" t="s">
        <v>54</v>
      </c>
      <c r="D19" s="26" t="s">
        <v>55</v>
      </c>
    </row>
    <row r="20" spans="3:4" ht="22.5" customHeight="1">
      <c r="C20" s="29"/>
      <c r="D20" s="26"/>
    </row>
    <row r="21" spans="3:4" ht="22.5" customHeight="1">
      <c r="C21" s="25" t="s">
        <v>56</v>
      </c>
      <c r="D21" s="26" t="s">
        <v>57</v>
      </c>
    </row>
    <row r="22" spans="3:4" ht="22.5" customHeight="1">
      <c r="C22" s="25" t="s">
        <v>58</v>
      </c>
      <c r="D22" s="26" t="s">
        <v>59</v>
      </c>
    </row>
    <row r="23" spans="3:4" ht="22.5" customHeight="1">
      <c r="C23" s="29"/>
      <c r="D23" s="26"/>
    </row>
    <row r="24" spans="3:4" ht="22.5" customHeight="1">
      <c r="C24" s="25" t="s">
        <v>60</v>
      </c>
      <c r="D24" s="26" t="s">
        <v>61</v>
      </c>
    </row>
    <row r="25" spans="3:4" ht="22.5" customHeight="1">
      <c r="C25" s="25" t="s">
        <v>62</v>
      </c>
      <c r="D25" s="26" t="s">
        <v>63</v>
      </c>
    </row>
    <row r="26" spans="3:4" ht="22.5" customHeight="1">
      <c r="C26" s="29"/>
      <c r="D26" s="26"/>
    </row>
    <row r="27" spans="3:4" ht="22.5" customHeight="1">
      <c r="C27" s="25" t="s">
        <v>64</v>
      </c>
      <c r="D27" s="26" t="s">
        <v>65</v>
      </c>
    </row>
    <row r="28" spans="3:4" ht="22.5" customHeight="1">
      <c r="C28" s="25" t="s">
        <v>66</v>
      </c>
      <c r="D28" s="26" t="s">
        <v>67</v>
      </c>
    </row>
    <row r="29" spans="3:4" ht="22.5" customHeight="1">
      <c r="C29" s="29"/>
      <c r="D29" s="26"/>
    </row>
    <row r="30" spans="3:4" ht="22.5" customHeight="1">
      <c r="C30" s="25" t="s">
        <v>68</v>
      </c>
      <c r="D30" s="26" t="s">
        <v>69</v>
      </c>
    </row>
    <row r="31" spans="3:4" ht="22.5" customHeight="1">
      <c r="C31" s="25" t="s">
        <v>70</v>
      </c>
      <c r="D31" s="26" t="s">
        <v>71</v>
      </c>
    </row>
    <row r="32" spans="3:4" ht="22.5" customHeight="1">
      <c r="C32" s="29"/>
      <c r="D32" s="26"/>
    </row>
    <row r="33" spans="3:4" ht="22.5" customHeight="1">
      <c r="C33" s="25" t="s">
        <v>72</v>
      </c>
      <c r="D33" s="26" t="s">
        <v>73</v>
      </c>
    </row>
    <row r="34" spans="3:4" ht="22.5" customHeight="1">
      <c r="C34" s="25" t="s">
        <v>74</v>
      </c>
      <c r="D34" s="26" t="s">
        <v>75</v>
      </c>
    </row>
    <row r="35" spans="3:4" ht="22.5" customHeight="1">
      <c r="C35" s="31"/>
      <c r="D35" s="26"/>
    </row>
    <row r="36" spans="3:4" ht="22.5" customHeight="1">
      <c r="C36" s="32" t="s">
        <v>76</v>
      </c>
      <c r="D36" s="26" t="s">
        <v>77</v>
      </c>
    </row>
    <row r="37" spans="3:4" ht="22.5" customHeight="1">
      <c r="C37" s="32" t="s">
        <v>78</v>
      </c>
      <c r="D37" s="26" t="s">
        <v>79</v>
      </c>
    </row>
    <row r="38" spans="3:4" ht="22.5" customHeight="1">
      <c r="C38" s="31"/>
      <c r="D38" s="26"/>
    </row>
    <row r="39" spans="3:4" ht="22.5" customHeight="1">
      <c r="C39" s="31"/>
      <c r="D39" s="3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I1001"/>
  <sheetViews>
    <sheetView rightToLeft="1" workbookViewId="0">
      <pane ySplit="3" topLeftCell="A12" activePane="bottomLeft" state="frozen"/>
      <selection pane="bottomLeft" activeCell="D4" sqref="D4"/>
    </sheetView>
  </sheetViews>
  <sheetFormatPr defaultColWidth="12.6328125" defaultRowHeight="15.75" customHeight="1"/>
  <cols>
    <col min="4" max="4" width="15.26953125" customWidth="1"/>
    <col min="5" max="5" width="16.6328125" customWidth="1"/>
  </cols>
  <sheetData>
    <row r="1" spans="2:9" ht="15.5">
      <c r="B1" s="34"/>
      <c r="C1" s="34"/>
      <c r="D1" s="34"/>
      <c r="E1" s="35"/>
      <c r="F1" s="34"/>
      <c r="G1" s="34"/>
      <c r="H1" s="34"/>
    </row>
    <row r="2" spans="2:9" ht="16.5">
      <c r="B2" s="36"/>
      <c r="C2" s="36"/>
      <c r="D2" s="36"/>
      <c r="E2" s="37"/>
      <c r="F2" s="36"/>
      <c r="G2" s="36"/>
      <c r="H2" s="36"/>
    </row>
    <row r="3" spans="2:9" ht="22.5" customHeight="1">
      <c r="B3" s="36"/>
      <c r="C3" s="37" t="s">
        <v>80</v>
      </c>
      <c r="D3" s="37" t="s">
        <v>81</v>
      </c>
      <c r="E3" s="37" t="s">
        <v>82</v>
      </c>
      <c r="F3" s="37" t="s">
        <v>6</v>
      </c>
      <c r="G3" s="37" t="s">
        <v>83</v>
      </c>
      <c r="H3" s="36"/>
    </row>
    <row r="4" spans="2:9" ht="22.5" customHeight="1">
      <c r="B4" s="36"/>
      <c r="C4" s="37">
        <v>1</v>
      </c>
      <c r="D4" s="37" t="s">
        <v>18</v>
      </c>
      <c r="E4" s="38" t="s">
        <v>84</v>
      </c>
      <c r="F4" s="37">
        <v>8264943</v>
      </c>
      <c r="G4" s="39" t="s">
        <v>85</v>
      </c>
      <c r="H4" s="36"/>
    </row>
    <row r="5" spans="2:9" ht="22.5" customHeight="1">
      <c r="B5" s="36"/>
      <c r="C5" s="37">
        <v>1</v>
      </c>
      <c r="D5" s="37" t="s">
        <v>86</v>
      </c>
      <c r="E5" s="38" t="s">
        <v>87</v>
      </c>
      <c r="F5" s="37">
        <v>8426106</v>
      </c>
      <c r="G5" s="39" t="s">
        <v>88</v>
      </c>
      <c r="H5" s="36"/>
    </row>
    <row r="6" spans="2:9" ht="22.5" customHeight="1">
      <c r="B6" s="36"/>
      <c r="C6" s="37">
        <v>1</v>
      </c>
      <c r="D6" s="37" t="s">
        <v>89</v>
      </c>
      <c r="E6" s="38" t="s">
        <v>90</v>
      </c>
      <c r="F6" s="37">
        <v>8495138</v>
      </c>
      <c r="G6" s="39" t="s">
        <v>91</v>
      </c>
      <c r="H6" s="36"/>
    </row>
    <row r="7" spans="2:9" ht="22.5" customHeight="1">
      <c r="B7" s="36"/>
      <c r="C7" s="37">
        <v>1</v>
      </c>
      <c r="D7" s="37" t="s">
        <v>28</v>
      </c>
      <c r="E7" s="38" t="s">
        <v>92</v>
      </c>
      <c r="F7" s="37">
        <v>8119530</v>
      </c>
      <c r="G7" s="39" t="s">
        <v>93</v>
      </c>
      <c r="H7" s="36"/>
      <c r="I7" s="40"/>
    </row>
    <row r="8" spans="2:9" ht="22.5" customHeight="1">
      <c r="B8" s="36"/>
      <c r="C8" s="37">
        <v>1</v>
      </c>
      <c r="D8" s="37" t="s">
        <v>27</v>
      </c>
      <c r="E8" s="38" t="s">
        <v>94</v>
      </c>
      <c r="F8" s="37">
        <v>8470988</v>
      </c>
      <c r="G8" s="39" t="s">
        <v>95</v>
      </c>
      <c r="H8" s="36"/>
    </row>
    <row r="9" spans="2:9" ht="22.5" customHeight="1">
      <c r="B9" s="36"/>
      <c r="C9" s="37">
        <v>1</v>
      </c>
      <c r="D9" s="37" t="s">
        <v>31</v>
      </c>
      <c r="E9" s="38" t="s">
        <v>96</v>
      </c>
      <c r="F9" s="37">
        <v>8459664</v>
      </c>
      <c r="G9" s="39" t="s">
        <v>93</v>
      </c>
      <c r="H9" s="36"/>
    </row>
    <row r="10" spans="2:9" ht="22.5" customHeight="1">
      <c r="B10" s="36"/>
      <c r="C10" s="37">
        <v>1</v>
      </c>
      <c r="D10" s="37" t="s">
        <v>97</v>
      </c>
      <c r="E10" s="38" t="s">
        <v>98</v>
      </c>
      <c r="F10" s="37">
        <v>8457250</v>
      </c>
      <c r="G10" s="39" t="s">
        <v>93</v>
      </c>
      <c r="H10" s="36"/>
    </row>
    <row r="11" spans="2:9" ht="22.5" customHeight="1">
      <c r="B11" s="36"/>
      <c r="C11" s="37">
        <v>1</v>
      </c>
      <c r="D11" s="37" t="s">
        <v>99</v>
      </c>
      <c r="E11" s="38" t="s">
        <v>100</v>
      </c>
      <c r="F11" s="37">
        <v>8113920</v>
      </c>
      <c r="G11" s="39" t="s">
        <v>93</v>
      </c>
      <c r="H11" s="36"/>
    </row>
    <row r="12" spans="2:9" ht="22.5" customHeight="1">
      <c r="B12" s="36"/>
      <c r="C12" s="37">
        <v>1</v>
      </c>
      <c r="D12" s="37" t="s">
        <v>22</v>
      </c>
      <c r="E12" s="38" t="s">
        <v>101</v>
      </c>
      <c r="F12" s="37">
        <v>8434696</v>
      </c>
      <c r="G12" s="39" t="s">
        <v>95</v>
      </c>
      <c r="H12" s="36"/>
    </row>
    <row r="13" spans="2:9" ht="22.5" customHeight="1">
      <c r="B13" s="36"/>
      <c r="C13" s="37">
        <v>1</v>
      </c>
      <c r="D13" s="37" t="s">
        <v>30</v>
      </c>
      <c r="E13" s="38" t="s">
        <v>102</v>
      </c>
      <c r="F13" s="37">
        <v>8233128</v>
      </c>
      <c r="G13" s="39" t="s">
        <v>91</v>
      </c>
      <c r="H13" s="36"/>
    </row>
    <row r="14" spans="2:9" ht="22.5" customHeight="1">
      <c r="B14" s="36"/>
      <c r="C14" s="37">
        <v>1</v>
      </c>
      <c r="D14" s="37" t="s">
        <v>32</v>
      </c>
      <c r="E14" s="38" t="s">
        <v>103</v>
      </c>
      <c r="F14" s="37">
        <v>8110205</v>
      </c>
      <c r="G14" s="39" t="s">
        <v>93</v>
      </c>
      <c r="H14" s="36"/>
    </row>
    <row r="15" spans="2:9" ht="22.5" customHeight="1">
      <c r="B15" s="36"/>
      <c r="C15" s="37">
        <v>1</v>
      </c>
      <c r="D15" s="37" t="s">
        <v>20</v>
      </c>
      <c r="E15" s="38" t="s">
        <v>104</v>
      </c>
      <c r="F15" s="37">
        <v>8301564</v>
      </c>
      <c r="G15" s="39" t="s">
        <v>93</v>
      </c>
      <c r="H15" s="36"/>
    </row>
    <row r="16" spans="2:9" ht="22.5" customHeight="1">
      <c r="B16" s="36"/>
      <c r="C16" s="37">
        <v>1</v>
      </c>
      <c r="D16" s="37" t="s">
        <v>29</v>
      </c>
      <c r="E16" s="38" t="s">
        <v>105</v>
      </c>
      <c r="F16" s="37">
        <v>8295723</v>
      </c>
      <c r="G16" s="39" t="s">
        <v>93</v>
      </c>
      <c r="H16" s="36"/>
    </row>
    <row r="17" spans="2:8" ht="22.5" customHeight="1">
      <c r="B17" s="36"/>
      <c r="C17" s="37">
        <v>1</v>
      </c>
      <c r="D17" s="37" t="s">
        <v>106</v>
      </c>
      <c r="E17" s="38" t="s">
        <v>107</v>
      </c>
      <c r="F17" s="37">
        <v>8412720</v>
      </c>
      <c r="G17" s="39" t="s">
        <v>108</v>
      </c>
      <c r="H17" s="36"/>
    </row>
    <row r="18" spans="2:8" ht="22.5" customHeight="1">
      <c r="B18" s="36"/>
      <c r="C18" s="37">
        <v>1</v>
      </c>
      <c r="D18" s="37" t="s">
        <v>109</v>
      </c>
      <c r="E18" s="38" t="s">
        <v>110</v>
      </c>
      <c r="F18" s="37">
        <v>8537889</v>
      </c>
      <c r="G18" s="39" t="s">
        <v>93</v>
      </c>
      <c r="H18" s="36"/>
    </row>
    <row r="19" spans="2:8" ht="22.5" customHeight="1">
      <c r="B19" s="36"/>
      <c r="C19" s="37">
        <v>1</v>
      </c>
      <c r="D19" s="37" t="s">
        <v>33</v>
      </c>
      <c r="E19" s="38" t="s">
        <v>111</v>
      </c>
      <c r="F19" s="37">
        <v>8401680</v>
      </c>
      <c r="G19" s="39" t="s">
        <v>93</v>
      </c>
      <c r="H19" s="36"/>
    </row>
    <row r="20" spans="2:8" ht="22.5" customHeight="1">
      <c r="B20" s="36"/>
      <c r="C20" s="37">
        <v>1</v>
      </c>
      <c r="D20" s="37" t="s">
        <v>112</v>
      </c>
      <c r="E20" s="38" t="s">
        <v>113</v>
      </c>
      <c r="F20" s="37">
        <v>9174428</v>
      </c>
      <c r="G20" s="39" t="s">
        <v>93</v>
      </c>
      <c r="H20" s="36"/>
    </row>
    <row r="21" spans="2:8" ht="22.5" customHeight="1">
      <c r="B21" s="36"/>
      <c r="C21" s="37">
        <v>1</v>
      </c>
      <c r="D21" s="37" t="s">
        <v>114</v>
      </c>
      <c r="E21" s="38" t="s">
        <v>115</v>
      </c>
      <c r="F21" s="37">
        <v>9174120</v>
      </c>
      <c r="G21" s="39" t="s">
        <v>93</v>
      </c>
      <c r="H21" s="36"/>
    </row>
    <row r="22" spans="2:8" ht="22.5" customHeight="1">
      <c r="B22" s="36"/>
      <c r="C22" s="37">
        <v>1</v>
      </c>
      <c r="D22" s="37" t="s">
        <v>24</v>
      </c>
      <c r="E22" s="38" t="s">
        <v>116</v>
      </c>
      <c r="F22" s="37">
        <v>9174435</v>
      </c>
      <c r="G22" s="39" t="s">
        <v>93</v>
      </c>
      <c r="H22" s="36"/>
    </row>
    <row r="23" spans="2:8" ht="22.5" customHeight="1">
      <c r="B23" s="36"/>
      <c r="C23" s="37">
        <v>1</v>
      </c>
      <c r="D23" s="37" t="s">
        <v>117</v>
      </c>
      <c r="E23" s="38" t="s">
        <v>118</v>
      </c>
      <c r="F23" s="37">
        <v>8144443</v>
      </c>
      <c r="G23" s="39" t="s">
        <v>93</v>
      </c>
      <c r="H23" s="36"/>
    </row>
    <row r="24" spans="2:8" ht="22.5" customHeight="1">
      <c r="B24" s="36"/>
      <c r="C24" s="37">
        <v>1</v>
      </c>
      <c r="D24" s="37" t="s">
        <v>34</v>
      </c>
      <c r="E24" s="38" t="s">
        <v>119</v>
      </c>
      <c r="F24" s="37">
        <v>8712591</v>
      </c>
      <c r="G24" s="39" t="s">
        <v>108</v>
      </c>
      <c r="H24" s="36"/>
    </row>
    <row r="25" spans="2:8" ht="22.5" customHeight="1">
      <c r="B25" s="36"/>
      <c r="C25" s="37">
        <v>1</v>
      </c>
      <c r="D25" s="37" t="s">
        <v>26</v>
      </c>
      <c r="E25" s="38" t="s">
        <v>120</v>
      </c>
      <c r="F25" s="37">
        <v>9308004</v>
      </c>
      <c r="G25" s="39" t="s">
        <v>93</v>
      </c>
      <c r="H25" s="36"/>
    </row>
    <row r="26" spans="2:8" ht="22.5" customHeight="1">
      <c r="B26" s="36"/>
      <c r="C26" s="37">
        <v>2</v>
      </c>
      <c r="D26" s="39" t="s">
        <v>121</v>
      </c>
      <c r="E26" s="37" t="s">
        <v>122</v>
      </c>
      <c r="F26" s="39">
        <v>8290451</v>
      </c>
      <c r="G26" s="37" t="s">
        <v>85</v>
      </c>
      <c r="H26" s="36"/>
    </row>
    <row r="27" spans="2:8" ht="22.5" customHeight="1">
      <c r="B27" s="36"/>
      <c r="C27" s="37">
        <v>2</v>
      </c>
      <c r="D27" s="39" t="s">
        <v>123</v>
      </c>
      <c r="E27" s="37" t="s">
        <v>124</v>
      </c>
      <c r="F27" s="39">
        <v>8474036</v>
      </c>
      <c r="G27" s="37" t="s">
        <v>125</v>
      </c>
      <c r="H27" s="36"/>
    </row>
    <row r="28" spans="2:8" ht="22.5" customHeight="1">
      <c r="B28" s="36"/>
      <c r="C28" s="37">
        <v>2</v>
      </c>
      <c r="D28" s="39" t="s">
        <v>126</v>
      </c>
      <c r="E28" s="37" t="s">
        <v>127</v>
      </c>
      <c r="F28" s="39">
        <v>8306692</v>
      </c>
      <c r="G28" s="37" t="s">
        <v>93</v>
      </c>
      <c r="H28" s="36"/>
    </row>
    <row r="29" spans="2:8" ht="22.5" customHeight="1">
      <c r="B29" s="36"/>
      <c r="C29" s="37">
        <v>2</v>
      </c>
      <c r="D29" s="39" t="s">
        <v>128</v>
      </c>
      <c r="E29" s="37" t="s">
        <v>129</v>
      </c>
      <c r="F29" s="39">
        <v>8647899</v>
      </c>
      <c r="G29" s="37" t="s">
        <v>93</v>
      </c>
      <c r="H29" s="36"/>
    </row>
    <row r="30" spans="2:8" ht="22.5" customHeight="1">
      <c r="B30" s="36"/>
      <c r="C30" s="37">
        <v>2</v>
      </c>
      <c r="D30" s="39" t="s">
        <v>130</v>
      </c>
      <c r="E30" s="37" t="s">
        <v>131</v>
      </c>
      <c r="F30" s="39">
        <v>8348080</v>
      </c>
      <c r="G30" s="37" t="s">
        <v>91</v>
      </c>
      <c r="H30" s="36"/>
    </row>
    <row r="31" spans="2:8" ht="22.5" customHeight="1">
      <c r="B31" s="36"/>
      <c r="C31" s="37">
        <v>2</v>
      </c>
      <c r="D31" s="39" t="s">
        <v>132</v>
      </c>
      <c r="E31" s="37" t="s">
        <v>133</v>
      </c>
      <c r="F31" s="39">
        <v>8609287</v>
      </c>
      <c r="G31" s="37" t="s">
        <v>93</v>
      </c>
      <c r="H31" s="36"/>
    </row>
    <row r="32" spans="2:8" ht="22.5" customHeight="1">
      <c r="B32" s="36"/>
      <c r="C32" s="37">
        <v>2</v>
      </c>
      <c r="D32" s="39" t="s">
        <v>134</v>
      </c>
      <c r="E32" s="37" t="s">
        <v>135</v>
      </c>
      <c r="F32" s="39">
        <v>8712373</v>
      </c>
      <c r="G32" s="37" t="s">
        <v>108</v>
      </c>
      <c r="H32" s="36"/>
    </row>
    <row r="33" spans="2:8" ht="22.5" customHeight="1">
      <c r="B33" s="36"/>
      <c r="C33" s="37">
        <v>2</v>
      </c>
      <c r="D33" s="39" t="s">
        <v>136</v>
      </c>
      <c r="E33" s="37" t="s">
        <v>137</v>
      </c>
      <c r="F33" s="39">
        <v>8686446</v>
      </c>
      <c r="G33" s="37" t="s">
        <v>138</v>
      </c>
      <c r="H33" s="36"/>
    </row>
    <row r="34" spans="2:8" ht="22.5" customHeight="1">
      <c r="B34" s="36"/>
      <c r="C34" s="37">
        <v>2</v>
      </c>
      <c r="D34" s="39" t="s">
        <v>139</v>
      </c>
      <c r="E34" s="37" t="s">
        <v>140</v>
      </c>
      <c r="F34" s="39">
        <v>8570742</v>
      </c>
      <c r="G34" s="37" t="s">
        <v>91</v>
      </c>
      <c r="H34" s="36"/>
    </row>
    <row r="35" spans="2:8" ht="22.5" customHeight="1">
      <c r="B35" s="36"/>
      <c r="C35" s="37">
        <v>2</v>
      </c>
      <c r="D35" s="39" t="s">
        <v>141</v>
      </c>
      <c r="E35" s="37" t="s">
        <v>142</v>
      </c>
      <c r="F35" s="39">
        <v>5673851</v>
      </c>
      <c r="G35" s="37" t="s">
        <v>88</v>
      </c>
      <c r="H35" s="36"/>
    </row>
    <row r="36" spans="2:8" ht="22.5" customHeight="1">
      <c r="B36" s="36"/>
      <c r="C36" s="37">
        <v>2</v>
      </c>
      <c r="D36" s="39" t="s">
        <v>143</v>
      </c>
      <c r="E36" s="37" t="s">
        <v>144</v>
      </c>
      <c r="F36" s="39">
        <v>8371574</v>
      </c>
      <c r="G36" s="37" t="s">
        <v>93</v>
      </c>
      <c r="H36" s="36"/>
    </row>
    <row r="37" spans="2:8" ht="22.5" customHeight="1">
      <c r="B37" s="36"/>
      <c r="C37" s="37">
        <v>2</v>
      </c>
      <c r="D37" s="39" t="s">
        <v>145</v>
      </c>
      <c r="E37" s="37" t="s">
        <v>146</v>
      </c>
      <c r="F37" s="39">
        <v>8279507</v>
      </c>
      <c r="G37" s="37" t="s">
        <v>93</v>
      </c>
      <c r="H37" s="36"/>
    </row>
    <row r="38" spans="2:8" ht="22.5" customHeight="1">
      <c r="B38" s="36"/>
      <c r="C38" s="37">
        <v>2</v>
      </c>
      <c r="D38" s="41" t="s">
        <v>147</v>
      </c>
      <c r="E38" s="37"/>
      <c r="F38" s="41">
        <v>8501127</v>
      </c>
      <c r="G38" s="37"/>
      <c r="H38" s="36"/>
    </row>
    <row r="39" spans="2:8" ht="22.5" customHeight="1">
      <c r="B39" s="36"/>
      <c r="C39" s="37">
        <v>2</v>
      </c>
      <c r="D39" s="39" t="s">
        <v>148</v>
      </c>
      <c r="E39" s="37" t="s">
        <v>149</v>
      </c>
      <c r="F39" s="39">
        <v>8476129</v>
      </c>
      <c r="G39" s="37" t="s">
        <v>93</v>
      </c>
      <c r="H39" s="36"/>
    </row>
    <row r="40" spans="2:8" ht="22.5" customHeight="1">
      <c r="B40" s="36"/>
      <c r="C40" s="37">
        <v>2</v>
      </c>
      <c r="D40" s="39" t="s">
        <v>150</v>
      </c>
      <c r="E40" s="37" t="s">
        <v>151</v>
      </c>
      <c r="F40" s="39">
        <v>8346206</v>
      </c>
      <c r="G40" s="37" t="s">
        <v>93</v>
      </c>
      <c r="H40" s="36"/>
    </row>
    <row r="41" spans="2:8" ht="22.5" customHeight="1">
      <c r="B41" s="36"/>
      <c r="C41" s="37">
        <v>2</v>
      </c>
      <c r="D41" s="39" t="s">
        <v>152</v>
      </c>
      <c r="E41" s="37" t="s">
        <v>153</v>
      </c>
      <c r="F41" s="39">
        <v>8528026</v>
      </c>
      <c r="G41" s="37" t="s">
        <v>93</v>
      </c>
      <c r="H41" s="36"/>
    </row>
    <row r="42" spans="2:8" ht="22.5" customHeight="1">
      <c r="B42" s="36"/>
      <c r="C42" s="37">
        <v>2</v>
      </c>
      <c r="D42" s="39" t="s">
        <v>154</v>
      </c>
      <c r="E42" s="37" t="s">
        <v>155</v>
      </c>
      <c r="F42" s="39">
        <v>8307026</v>
      </c>
      <c r="G42" s="37" t="s">
        <v>95</v>
      </c>
      <c r="H42" s="36"/>
    </row>
    <row r="43" spans="2:8" ht="22.5" customHeight="1">
      <c r="B43" s="36"/>
      <c r="C43" s="37">
        <v>2</v>
      </c>
      <c r="D43" s="39" t="s">
        <v>156</v>
      </c>
      <c r="E43" s="37" t="s">
        <v>157</v>
      </c>
      <c r="F43" s="39">
        <v>8061709</v>
      </c>
      <c r="G43" s="37" t="s">
        <v>93</v>
      </c>
      <c r="H43" s="36"/>
    </row>
    <row r="44" spans="2:8" ht="22.5" customHeight="1">
      <c r="B44" s="36"/>
      <c r="C44" s="37">
        <v>3</v>
      </c>
      <c r="D44" s="42" t="s">
        <v>158</v>
      </c>
      <c r="E44" s="37" t="s">
        <v>159</v>
      </c>
      <c r="F44" s="42">
        <v>8787682</v>
      </c>
      <c r="G44" s="37"/>
      <c r="H44" s="36"/>
    </row>
    <row r="45" spans="2:8" ht="22.5" customHeight="1">
      <c r="B45" s="36"/>
      <c r="C45" s="37">
        <v>3</v>
      </c>
      <c r="D45" s="42" t="s">
        <v>160</v>
      </c>
      <c r="E45" s="37" t="s">
        <v>161</v>
      </c>
      <c r="F45" s="42">
        <v>8734756</v>
      </c>
      <c r="G45" s="37"/>
      <c r="H45" s="36"/>
    </row>
    <row r="46" spans="2:8" ht="22.5" customHeight="1">
      <c r="B46" s="36"/>
      <c r="C46" s="37">
        <v>3</v>
      </c>
      <c r="D46" s="42" t="s">
        <v>162</v>
      </c>
      <c r="E46" s="37" t="s">
        <v>163</v>
      </c>
      <c r="F46" s="42">
        <v>9174639</v>
      </c>
      <c r="G46" s="37"/>
      <c r="H46" s="36"/>
    </row>
    <row r="47" spans="2:8" ht="22.5" customHeight="1">
      <c r="B47" s="36"/>
      <c r="C47" s="37">
        <v>3</v>
      </c>
      <c r="D47" s="42" t="s">
        <v>164</v>
      </c>
      <c r="E47" s="37" t="s">
        <v>165</v>
      </c>
      <c r="F47" s="42">
        <v>9308005</v>
      </c>
      <c r="G47" s="37"/>
      <c r="H47" s="36"/>
    </row>
    <row r="48" spans="2:8" ht="22.5" customHeight="1">
      <c r="B48" s="36"/>
      <c r="C48" s="37">
        <v>3</v>
      </c>
      <c r="D48" s="42" t="s">
        <v>166</v>
      </c>
      <c r="E48" s="37" t="s">
        <v>167</v>
      </c>
      <c r="F48" s="42">
        <v>8817559</v>
      </c>
      <c r="G48" s="37"/>
      <c r="H48" s="36"/>
    </row>
    <row r="49" spans="2:8" ht="22.5" customHeight="1">
      <c r="B49" s="36"/>
      <c r="C49" s="37">
        <v>3</v>
      </c>
      <c r="D49" s="42" t="s">
        <v>168</v>
      </c>
      <c r="E49" s="37" t="s">
        <v>169</v>
      </c>
      <c r="F49" s="42">
        <v>9174430</v>
      </c>
      <c r="G49" s="37"/>
      <c r="H49" s="36"/>
    </row>
    <row r="50" spans="2:8" ht="22.5" customHeight="1">
      <c r="B50" s="36"/>
      <c r="C50" s="37">
        <v>3</v>
      </c>
      <c r="D50" s="42" t="s">
        <v>170</v>
      </c>
      <c r="E50" s="37" t="s">
        <v>171</v>
      </c>
      <c r="F50" s="42">
        <v>8811699</v>
      </c>
      <c r="G50" s="37"/>
      <c r="H50" s="36"/>
    </row>
    <row r="51" spans="2:8" ht="22.5" customHeight="1">
      <c r="B51" s="36"/>
      <c r="C51" s="37">
        <v>3</v>
      </c>
      <c r="D51" s="42" t="s">
        <v>172</v>
      </c>
      <c r="E51" s="37" t="s">
        <v>173</v>
      </c>
      <c r="F51" s="42">
        <v>8806762</v>
      </c>
      <c r="G51" s="37"/>
      <c r="H51" s="36"/>
    </row>
    <row r="52" spans="2:8" ht="22.5" customHeight="1">
      <c r="B52" s="36"/>
      <c r="C52" s="37">
        <v>3</v>
      </c>
      <c r="D52" s="42" t="s">
        <v>174</v>
      </c>
      <c r="E52" s="37" t="s">
        <v>175</v>
      </c>
      <c r="F52" s="42">
        <v>8752855</v>
      </c>
      <c r="G52" s="37"/>
      <c r="H52" s="36"/>
    </row>
    <row r="53" spans="2:8" ht="22.5" customHeight="1">
      <c r="B53" s="36"/>
      <c r="C53" s="37">
        <v>3</v>
      </c>
      <c r="D53" s="42" t="s">
        <v>176</v>
      </c>
      <c r="E53" s="37" t="s">
        <v>177</v>
      </c>
      <c r="F53" s="42">
        <v>7303735</v>
      </c>
      <c r="G53" s="37"/>
      <c r="H53" s="36"/>
    </row>
    <row r="54" spans="2:8" ht="22.5" customHeight="1">
      <c r="B54" s="36"/>
      <c r="C54" s="37">
        <v>3</v>
      </c>
      <c r="D54" s="42" t="s">
        <v>178</v>
      </c>
      <c r="E54" s="37" t="s">
        <v>179</v>
      </c>
      <c r="F54" s="42">
        <v>7526152</v>
      </c>
      <c r="G54" s="37"/>
      <c r="H54" s="36"/>
    </row>
    <row r="55" spans="2:8" ht="22.5" customHeight="1">
      <c r="B55" s="36"/>
      <c r="C55" s="37">
        <v>3</v>
      </c>
      <c r="D55" s="42" t="s">
        <v>180</v>
      </c>
      <c r="E55" s="37" t="s">
        <v>181</v>
      </c>
      <c r="F55" s="42">
        <v>8537190</v>
      </c>
      <c r="G55" s="37"/>
      <c r="H55" s="36"/>
    </row>
    <row r="56" spans="2:8" ht="22.5" customHeight="1">
      <c r="B56" s="36"/>
      <c r="C56" s="37">
        <v>3</v>
      </c>
      <c r="D56" s="42" t="s">
        <v>182</v>
      </c>
      <c r="E56" s="37" t="s">
        <v>183</v>
      </c>
      <c r="F56" s="42">
        <v>8741302</v>
      </c>
      <c r="G56" s="37"/>
      <c r="H56" s="36"/>
    </row>
    <row r="57" spans="2:8" ht="22.5" customHeight="1">
      <c r="B57" s="36"/>
      <c r="C57" s="37">
        <v>3</v>
      </c>
      <c r="D57" s="42" t="s">
        <v>184</v>
      </c>
      <c r="E57" s="37" t="s">
        <v>185</v>
      </c>
      <c r="F57" s="42">
        <v>8591197</v>
      </c>
      <c r="G57" s="37"/>
      <c r="H57" s="36"/>
    </row>
    <row r="58" spans="2:8" ht="22.5" customHeight="1">
      <c r="B58" s="36"/>
      <c r="C58" s="37">
        <v>3</v>
      </c>
      <c r="D58" s="42" t="s">
        <v>186</v>
      </c>
      <c r="E58" s="37" t="s">
        <v>187</v>
      </c>
      <c r="F58" s="42">
        <v>8677296</v>
      </c>
      <c r="G58" s="37"/>
      <c r="H58" s="36"/>
    </row>
    <row r="59" spans="2:8" ht="22.5" customHeight="1">
      <c r="B59" s="36"/>
      <c r="C59" s="37">
        <v>3</v>
      </c>
      <c r="D59" s="42" t="s">
        <v>188</v>
      </c>
      <c r="E59" s="37" t="s">
        <v>189</v>
      </c>
      <c r="F59" s="42">
        <v>8781050</v>
      </c>
      <c r="G59" s="37"/>
      <c r="H59" s="36"/>
    </row>
    <row r="60" spans="2:8" ht="22.5" customHeight="1">
      <c r="B60" s="36"/>
      <c r="C60" s="37">
        <v>3</v>
      </c>
      <c r="D60" s="42" t="s">
        <v>190</v>
      </c>
      <c r="E60" s="37" t="s">
        <v>191</v>
      </c>
      <c r="F60" s="42">
        <v>8826102</v>
      </c>
      <c r="G60" s="37"/>
      <c r="H60" s="36"/>
    </row>
    <row r="61" spans="2:8" ht="22.5" customHeight="1">
      <c r="B61" s="36"/>
      <c r="C61" s="37">
        <v>3</v>
      </c>
      <c r="D61" s="42" t="s">
        <v>192</v>
      </c>
      <c r="E61" s="37" t="s">
        <v>193</v>
      </c>
      <c r="F61" s="42">
        <v>8746658</v>
      </c>
      <c r="G61" s="37"/>
      <c r="H61" s="36"/>
    </row>
    <row r="62" spans="2:8" ht="22.5" customHeight="1">
      <c r="B62" s="36"/>
      <c r="C62" s="37">
        <v>3</v>
      </c>
      <c r="D62" s="42" t="s">
        <v>194</v>
      </c>
      <c r="E62" s="37" t="s">
        <v>195</v>
      </c>
      <c r="F62" s="42">
        <v>8294547</v>
      </c>
      <c r="G62" s="37"/>
      <c r="H62" s="36"/>
    </row>
    <row r="63" spans="2:8" ht="22.5" customHeight="1">
      <c r="B63" s="36"/>
      <c r="C63" s="37">
        <v>3</v>
      </c>
      <c r="D63" s="42" t="s">
        <v>196</v>
      </c>
      <c r="E63" s="37" t="s">
        <v>197</v>
      </c>
      <c r="F63" s="42">
        <v>8813704</v>
      </c>
      <c r="G63" s="37"/>
      <c r="H63" s="36"/>
    </row>
    <row r="64" spans="2:8" ht="22.5" customHeight="1">
      <c r="B64" s="36"/>
      <c r="C64" s="37">
        <v>3</v>
      </c>
      <c r="D64" s="42" t="s">
        <v>198</v>
      </c>
      <c r="E64" s="37" t="s">
        <v>199</v>
      </c>
      <c r="F64" s="42">
        <v>8741447</v>
      </c>
      <c r="G64" s="37"/>
      <c r="H64" s="36"/>
    </row>
    <row r="65" spans="2:8" ht="22.5" customHeight="1">
      <c r="B65" s="36"/>
      <c r="C65" s="37">
        <v>3</v>
      </c>
      <c r="D65" s="42" t="s">
        <v>200</v>
      </c>
      <c r="E65" s="37" t="s">
        <v>201</v>
      </c>
      <c r="F65" s="42">
        <v>8653435</v>
      </c>
      <c r="G65" s="37"/>
      <c r="H65" s="36"/>
    </row>
    <row r="66" spans="2:8" ht="22.5" customHeight="1">
      <c r="B66" s="36"/>
      <c r="C66" s="37">
        <v>3</v>
      </c>
      <c r="D66" s="42" t="s">
        <v>202</v>
      </c>
      <c r="E66" s="37" t="s">
        <v>203</v>
      </c>
      <c r="F66" s="42">
        <v>8800760</v>
      </c>
      <c r="G66" s="37"/>
      <c r="H66" s="36"/>
    </row>
    <row r="67" spans="2:8" ht="22.5" customHeight="1">
      <c r="B67" s="36"/>
      <c r="C67" s="37">
        <v>3</v>
      </c>
      <c r="D67" s="42" t="s">
        <v>204</v>
      </c>
      <c r="E67" s="37" t="s">
        <v>205</v>
      </c>
      <c r="F67" s="42">
        <v>8735279</v>
      </c>
      <c r="G67" s="37"/>
      <c r="H67" s="36"/>
    </row>
    <row r="68" spans="2:8" ht="22.5" customHeight="1">
      <c r="B68" s="36"/>
      <c r="C68" s="37">
        <v>3</v>
      </c>
      <c r="D68" s="42" t="s">
        <v>206</v>
      </c>
      <c r="E68" s="37" t="s">
        <v>207</v>
      </c>
      <c r="F68" s="42">
        <v>5812669</v>
      </c>
      <c r="G68" s="37"/>
      <c r="H68" s="36"/>
    </row>
    <row r="69" spans="2:8" ht="22.5" customHeight="1">
      <c r="B69" s="36"/>
      <c r="C69" s="37">
        <v>3</v>
      </c>
      <c r="D69" s="42" t="s">
        <v>208</v>
      </c>
      <c r="E69" s="37" t="s">
        <v>209</v>
      </c>
      <c r="F69" s="42">
        <v>8754095</v>
      </c>
      <c r="G69" s="37"/>
      <c r="H69" s="36"/>
    </row>
    <row r="70" spans="2:8" ht="22.5" customHeight="1">
      <c r="B70" s="36"/>
      <c r="C70" s="37">
        <v>3</v>
      </c>
      <c r="D70" s="42" t="s">
        <v>210</v>
      </c>
      <c r="E70" s="37" t="s">
        <v>211</v>
      </c>
      <c r="F70" s="42">
        <v>8752767</v>
      </c>
      <c r="G70" s="37"/>
      <c r="H70" s="36"/>
    </row>
    <row r="71" spans="2:8" ht="22.5" customHeight="1">
      <c r="B71" s="36"/>
      <c r="C71" s="37">
        <v>3</v>
      </c>
      <c r="D71" s="42" t="s">
        <v>212</v>
      </c>
      <c r="E71" s="37" t="s">
        <v>213</v>
      </c>
      <c r="F71" s="42">
        <v>8696787</v>
      </c>
      <c r="G71" s="37"/>
      <c r="H71" s="36"/>
    </row>
    <row r="72" spans="2:8" ht="22.5" customHeight="1">
      <c r="B72" s="36"/>
      <c r="C72" s="37">
        <v>3</v>
      </c>
      <c r="D72" s="43" t="s">
        <v>214</v>
      </c>
      <c r="E72" s="37" t="s">
        <v>215</v>
      </c>
      <c r="F72" s="43">
        <v>7534869</v>
      </c>
      <c r="G72" s="37"/>
      <c r="H72" s="36"/>
    </row>
    <row r="73" spans="2:8" ht="22.5" customHeight="1">
      <c r="B73" s="36"/>
      <c r="C73" s="37"/>
      <c r="D73" s="44"/>
      <c r="E73" s="37"/>
      <c r="F73" s="44"/>
      <c r="G73" s="37"/>
      <c r="H73" s="36"/>
    </row>
    <row r="74" spans="2:8" ht="22.5" customHeight="1">
      <c r="B74" s="36"/>
      <c r="C74" s="37"/>
      <c r="D74" s="44"/>
      <c r="E74" s="37"/>
      <c r="F74" s="44"/>
      <c r="G74" s="37"/>
      <c r="H74" s="36"/>
    </row>
    <row r="75" spans="2:8" ht="22.5" customHeight="1">
      <c r="B75" s="36"/>
      <c r="C75" s="37"/>
      <c r="D75" s="41"/>
      <c r="E75" s="37"/>
      <c r="F75" s="41"/>
      <c r="G75" s="37"/>
      <c r="H75" s="36"/>
    </row>
    <row r="76" spans="2:8" ht="22.5" customHeight="1">
      <c r="B76" s="36"/>
      <c r="C76" s="37" t="s">
        <v>216</v>
      </c>
      <c r="D76" s="44" t="s">
        <v>217</v>
      </c>
      <c r="E76" s="37" t="s">
        <v>218</v>
      </c>
      <c r="F76" s="44">
        <v>7289435</v>
      </c>
      <c r="G76" s="37"/>
      <c r="H76" s="36"/>
    </row>
    <row r="77" spans="2:8" ht="22.5" customHeight="1">
      <c r="B77" s="36"/>
      <c r="C77" s="37" t="s">
        <v>216</v>
      </c>
      <c r="D77" s="44" t="s">
        <v>19</v>
      </c>
      <c r="E77" s="37" t="s">
        <v>219</v>
      </c>
      <c r="F77" s="44">
        <v>8009927</v>
      </c>
      <c r="G77" s="37"/>
      <c r="H77" s="36"/>
    </row>
    <row r="78" spans="2:8" ht="22.5" customHeight="1">
      <c r="B78" s="36"/>
      <c r="C78" s="37" t="s">
        <v>216</v>
      </c>
      <c r="D78" s="41" t="s">
        <v>25</v>
      </c>
      <c r="E78" s="37" t="s">
        <v>220</v>
      </c>
      <c r="F78" s="41">
        <v>8192692</v>
      </c>
      <c r="G78" s="37"/>
      <c r="H78" s="36"/>
    </row>
    <row r="79" spans="2:8" ht="22.5" customHeight="1">
      <c r="B79" s="36"/>
      <c r="C79" s="37" t="s">
        <v>216</v>
      </c>
      <c r="D79" s="44" t="s">
        <v>221</v>
      </c>
      <c r="E79" s="37" t="s">
        <v>222</v>
      </c>
      <c r="F79" s="44">
        <v>8190180</v>
      </c>
      <c r="G79" s="37"/>
      <c r="H79" s="36"/>
    </row>
    <row r="80" spans="2:8" ht="22.5" customHeight="1">
      <c r="B80" s="36"/>
      <c r="C80" s="37" t="s">
        <v>216</v>
      </c>
      <c r="D80" s="44" t="s">
        <v>223</v>
      </c>
      <c r="E80" s="37" t="s">
        <v>224</v>
      </c>
      <c r="F80" s="44">
        <v>7490572</v>
      </c>
      <c r="G80" s="37"/>
      <c r="H80" s="36"/>
    </row>
    <row r="81" spans="2:8" ht="22.5" customHeight="1">
      <c r="B81" s="36"/>
      <c r="C81" s="37" t="s">
        <v>216</v>
      </c>
      <c r="D81" s="41" t="s">
        <v>21</v>
      </c>
      <c r="E81" s="37"/>
      <c r="F81" s="41">
        <v>8499480</v>
      </c>
      <c r="G81" s="37"/>
      <c r="H81" s="36"/>
    </row>
    <row r="82" spans="2:8" ht="22.5" customHeight="1">
      <c r="B82" s="36"/>
      <c r="C82" s="37" t="s">
        <v>216</v>
      </c>
      <c r="D82" s="44" t="s">
        <v>225</v>
      </c>
      <c r="E82" s="37" t="s">
        <v>226</v>
      </c>
      <c r="F82" s="44">
        <v>7534927</v>
      </c>
      <c r="G82" s="37"/>
      <c r="H82" s="36"/>
    </row>
    <row r="83" spans="2:8" ht="22.5" customHeight="1">
      <c r="B83" s="36"/>
      <c r="C83" s="37" t="s">
        <v>216</v>
      </c>
      <c r="D83" s="44" t="s">
        <v>227</v>
      </c>
      <c r="E83" s="37" t="s">
        <v>228</v>
      </c>
      <c r="F83" s="44">
        <v>7532445</v>
      </c>
      <c r="G83" s="37"/>
      <c r="H83" s="36"/>
    </row>
    <row r="84" spans="2:8" ht="22.5" customHeight="1">
      <c r="B84" s="36"/>
      <c r="C84" s="37" t="s">
        <v>216</v>
      </c>
      <c r="D84" s="44" t="s">
        <v>229</v>
      </c>
      <c r="E84" s="37" t="s">
        <v>230</v>
      </c>
      <c r="F84" s="44">
        <v>7169948</v>
      </c>
      <c r="G84" s="37"/>
      <c r="H84" s="36"/>
    </row>
    <row r="85" spans="2:8" ht="22.5" customHeight="1">
      <c r="B85" s="36"/>
      <c r="C85" s="37" t="s">
        <v>216</v>
      </c>
      <c r="D85" s="44" t="s">
        <v>231</v>
      </c>
      <c r="E85" s="37" t="s">
        <v>232</v>
      </c>
      <c r="F85" s="44">
        <v>7329404</v>
      </c>
      <c r="G85" s="37"/>
      <c r="H85" s="36"/>
    </row>
    <row r="86" spans="2:8" ht="22.5" customHeight="1">
      <c r="B86" s="36"/>
      <c r="C86" s="37" t="s">
        <v>216</v>
      </c>
      <c r="D86" s="44" t="s">
        <v>23</v>
      </c>
      <c r="E86" s="37" t="s">
        <v>233</v>
      </c>
      <c r="F86" s="44">
        <v>7234074</v>
      </c>
      <c r="G86" s="37"/>
      <c r="H86" s="36"/>
    </row>
    <row r="87" spans="2:8" ht="22.5" customHeight="1">
      <c r="B87" s="36"/>
      <c r="C87" s="37" t="s">
        <v>216</v>
      </c>
      <c r="D87" s="44" t="s">
        <v>234</v>
      </c>
      <c r="E87" s="37" t="s">
        <v>235</v>
      </c>
      <c r="F87" s="44">
        <v>7545724</v>
      </c>
      <c r="G87" s="37"/>
      <c r="H87" s="36"/>
    </row>
    <row r="88" spans="2:8" ht="22.5" customHeight="1">
      <c r="B88" s="36"/>
      <c r="C88" s="37"/>
      <c r="D88" s="37"/>
      <c r="E88" s="37"/>
      <c r="F88" s="37"/>
      <c r="G88" s="37"/>
      <c r="H88" s="36"/>
    </row>
    <row r="89" spans="2:8" ht="22.5" customHeight="1">
      <c r="B89" s="36"/>
      <c r="C89" s="37"/>
      <c r="D89" s="37"/>
      <c r="E89" s="37"/>
      <c r="F89" s="37"/>
      <c r="G89" s="37"/>
      <c r="H89" s="36"/>
    </row>
    <row r="90" spans="2:8" ht="22.5" customHeight="1">
      <c r="B90" s="36"/>
      <c r="C90" s="37"/>
      <c r="D90" s="37"/>
      <c r="E90" s="37"/>
      <c r="F90" s="37"/>
      <c r="G90" s="37"/>
      <c r="H90" s="36"/>
    </row>
    <row r="91" spans="2:8" ht="16.5">
      <c r="B91" s="36"/>
      <c r="C91" s="36"/>
      <c r="D91" s="36"/>
      <c r="E91" s="37"/>
      <c r="F91" s="36"/>
      <c r="G91" s="36"/>
      <c r="H91" s="36"/>
    </row>
    <row r="92" spans="2:8" ht="16.5">
      <c r="B92" s="36"/>
      <c r="C92" s="36"/>
      <c r="D92" s="36"/>
      <c r="E92" s="37"/>
      <c r="F92" s="36"/>
      <c r="G92" s="36"/>
      <c r="H92" s="36"/>
    </row>
    <row r="93" spans="2:8" ht="16.5">
      <c r="B93" s="36"/>
      <c r="C93" s="36"/>
      <c r="D93" s="36"/>
      <c r="E93" s="37"/>
      <c r="F93" s="36"/>
      <c r="G93" s="36"/>
      <c r="H93" s="36"/>
    </row>
    <row r="94" spans="2:8" ht="16.5">
      <c r="B94" s="36"/>
      <c r="C94" s="36"/>
      <c r="D94" s="36"/>
      <c r="E94" s="37"/>
      <c r="F94" s="36"/>
      <c r="G94" s="36"/>
      <c r="H94" s="36"/>
    </row>
    <row r="95" spans="2:8" ht="16.5">
      <c r="B95" s="45"/>
      <c r="C95" s="45"/>
      <c r="D95" s="45"/>
      <c r="E95" s="46"/>
      <c r="F95" s="45"/>
      <c r="G95" s="45"/>
      <c r="H95" s="45"/>
    </row>
    <row r="96" spans="2:8" ht="16.5">
      <c r="B96" s="45"/>
      <c r="C96" s="45"/>
      <c r="D96" s="45"/>
      <c r="E96" s="46"/>
      <c r="F96" s="45"/>
      <c r="G96" s="45"/>
      <c r="H96" s="45"/>
    </row>
    <row r="97" spans="2:8" ht="16.5">
      <c r="B97" s="45"/>
      <c r="C97" s="45"/>
      <c r="D97" s="45"/>
      <c r="E97" s="46"/>
      <c r="F97" s="45"/>
      <c r="G97" s="45"/>
      <c r="H97" s="45"/>
    </row>
    <row r="98" spans="2:8" ht="16.5">
      <c r="B98" s="45"/>
      <c r="C98" s="45"/>
      <c r="D98" s="45"/>
      <c r="E98" s="46"/>
      <c r="F98" s="45"/>
      <c r="G98" s="45"/>
      <c r="H98" s="45"/>
    </row>
    <row r="99" spans="2:8" ht="16.5">
      <c r="B99" s="45"/>
      <c r="C99" s="45"/>
      <c r="D99" s="45"/>
      <c r="E99" s="46"/>
      <c r="F99" s="45"/>
      <c r="G99" s="45"/>
      <c r="H99" s="45"/>
    </row>
    <row r="100" spans="2:8" ht="12.5">
      <c r="E100" s="3"/>
    </row>
    <row r="101" spans="2:8" ht="12.5">
      <c r="E101" s="3"/>
    </row>
    <row r="102" spans="2:8" ht="12.5">
      <c r="E102" s="3"/>
    </row>
    <row r="103" spans="2:8" ht="12.5">
      <c r="E103" s="3"/>
    </row>
    <row r="104" spans="2:8" ht="12.5">
      <c r="E104" s="3"/>
    </row>
    <row r="105" spans="2:8" ht="12.5">
      <c r="E105" s="3"/>
    </row>
    <row r="106" spans="2:8" ht="12.5">
      <c r="E106" s="3"/>
    </row>
    <row r="107" spans="2:8" ht="12.5">
      <c r="E107" s="3"/>
    </row>
    <row r="108" spans="2:8" ht="12.5">
      <c r="E108" s="3"/>
    </row>
    <row r="109" spans="2:8" ht="12.5">
      <c r="E109" s="3"/>
    </row>
    <row r="110" spans="2:8" ht="12.5">
      <c r="E110" s="3"/>
    </row>
    <row r="111" spans="2:8" ht="12.5">
      <c r="E111" s="3"/>
    </row>
    <row r="112" spans="2:8" ht="12.5">
      <c r="E112" s="3"/>
    </row>
    <row r="113" spans="5:5" ht="12.5">
      <c r="E113" s="3"/>
    </row>
    <row r="114" spans="5:5" ht="12.5">
      <c r="E114" s="3"/>
    </row>
    <row r="115" spans="5:5" ht="12.5">
      <c r="E115" s="3"/>
    </row>
    <row r="116" spans="5:5" ht="12.5">
      <c r="E116" s="3"/>
    </row>
    <row r="117" spans="5:5" ht="12.5">
      <c r="E117" s="3"/>
    </row>
    <row r="118" spans="5:5" ht="12.5">
      <c r="E118" s="3"/>
    </row>
    <row r="119" spans="5:5" ht="12.5">
      <c r="E119" s="3"/>
    </row>
    <row r="120" spans="5:5" ht="12.5">
      <c r="E120" s="3"/>
    </row>
    <row r="121" spans="5:5" ht="12.5">
      <c r="E121" s="3"/>
    </row>
    <row r="122" spans="5:5" ht="12.5">
      <c r="E122" s="3"/>
    </row>
    <row r="123" spans="5:5" ht="12.5">
      <c r="E123" s="3"/>
    </row>
    <row r="124" spans="5:5" ht="12.5">
      <c r="E124" s="3"/>
    </row>
    <row r="125" spans="5:5" ht="12.5">
      <c r="E125" s="3"/>
    </row>
    <row r="126" spans="5:5" ht="12.5">
      <c r="E126" s="3"/>
    </row>
    <row r="127" spans="5:5" ht="12.5">
      <c r="E127" s="3"/>
    </row>
    <row r="128" spans="5:5" ht="12.5">
      <c r="E128" s="3"/>
    </row>
    <row r="129" spans="5:5" ht="12.5">
      <c r="E129" s="3"/>
    </row>
    <row r="130" spans="5:5" ht="12.5">
      <c r="E130" s="3"/>
    </row>
    <row r="131" spans="5:5" ht="12.5">
      <c r="E131" s="3"/>
    </row>
    <row r="132" spans="5:5" ht="12.5">
      <c r="E132" s="3"/>
    </row>
    <row r="133" spans="5:5" ht="12.5">
      <c r="E133" s="3"/>
    </row>
    <row r="134" spans="5:5" ht="12.5">
      <c r="E134" s="3"/>
    </row>
    <row r="135" spans="5:5" ht="12.5">
      <c r="E135" s="3"/>
    </row>
    <row r="136" spans="5:5" ht="12.5">
      <c r="E136" s="3"/>
    </row>
    <row r="137" spans="5:5" ht="12.5">
      <c r="E137" s="3"/>
    </row>
    <row r="138" spans="5:5" ht="12.5">
      <c r="E138" s="3"/>
    </row>
    <row r="139" spans="5:5" ht="12.5">
      <c r="E139" s="3"/>
    </row>
    <row r="140" spans="5:5" ht="12.5">
      <c r="E140" s="3"/>
    </row>
    <row r="141" spans="5:5" ht="12.5">
      <c r="E141" s="3"/>
    </row>
    <row r="142" spans="5:5" ht="12.5">
      <c r="E142" s="3"/>
    </row>
    <row r="143" spans="5:5" ht="12.5">
      <c r="E143" s="3"/>
    </row>
    <row r="144" spans="5:5" ht="12.5">
      <c r="E144" s="3"/>
    </row>
    <row r="145" spans="5:5" ht="12.5">
      <c r="E145" s="3"/>
    </row>
    <row r="146" spans="5:5" ht="12.5">
      <c r="E146" s="3"/>
    </row>
    <row r="147" spans="5:5" ht="12.5">
      <c r="E147" s="3"/>
    </row>
    <row r="148" spans="5:5" ht="12.5">
      <c r="E148" s="3"/>
    </row>
    <row r="149" spans="5:5" ht="12.5">
      <c r="E149" s="3"/>
    </row>
    <row r="150" spans="5:5" ht="12.5">
      <c r="E150" s="3"/>
    </row>
    <row r="151" spans="5:5" ht="12.5">
      <c r="E151" s="3"/>
    </row>
    <row r="152" spans="5:5" ht="12.5">
      <c r="E152" s="3"/>
    </row>
    <row r="153" spans="5:5" ht="12.5">
      <c r="E153" s="3"/>
    </row>
    <row r="154" spans="5:5" ht="12.5">
      <c r="E154" s="3"/>
    </row>
    <row r="155" spans="5:5" ht="12.5">
      <c r="E155" s="3"/>
    </row>
    <row r="156" spans="5:5" ht="12.5">
      <c r="E156" s="3"/>
    </row>
    <row r="157" spans="5:5" ht="12.5">
      <c r="E157" s="3"/>
    </row>
    <row r="158" spans="5:5" ht="12.5">
      <c r="E158" s="3"/>
    </row>
    <row r="159" spans="5:5" ht="12.5">
      <c r="E159" s="3"/>
    </row>
    <row r="160" spans="5:5" ht="12.5">
      <c r="E160" s="3"/>
    </row>
    <row r="161" spans="5:5" ht="12.5">
      <c r="E161" s="3"/>
    </row>
    <row r="162" spans="5:5" ht="12.5">
      <c r="E162" s="3"/>
    </row>
    <row r="163" spans="5:5" ht="12.5">
      <c r="E163" s="3"/>
    </row>
    <row r="164" spans="5:5" ht="12.5">
      <c r="E164" s="3"/>
    </row>
    <row r="165" spans="5:5" ht="12.5">
      <c r="E165" s="3"/>
    </row>
    <row r="166" spans="5:5" ht="12.5">
      <c r="E166" s="3"/>
    </row>
    <row r="167" spans="5:5" ht="12.5">
      <c r="E167" s="3"/>
    </row>
    <row r="168" spans="5:5" ht="12.5">
      <c r="E168" s="3"/>
    </row>
    <row r="169" spans="5:5" ht="12.5">
      <c r="E169" s="3"/>
    </row>
    <row r="170" spans="5:5" ht="12.5">
      <c r="E170" s="3"/>
    </row>
    <row r="171" spans="5:5" ht="12.5">
      <c r="E171" s="3"/>
    </row>
    <row r="172" spans="5:5" ht="12.5">
      <c r="E172" s="3"/>
    </row>
    <row r="173" spans="5:5" ht="12.5">
      <c r="E173" s="3"/>
    </row>
    <row r="174" spans="5:5" ht="12.5">
      <c r="E174" s="3"/>
    </row>
    <row r="175" spans="5:5" ht="12.5">
      <c r="E175" s="3"/>
    </row>
    <row r="176" spans="5:5" ht="12.5">
      <c r="E176" s="3"/>
    </row>
    <row r="177" spans="5:5" ht="12.5">
      <c r="E177" s="3"/>
    </row>
    <row r="178" spans="5:5" ht="12.5">
      <c r="E178" s="3"/>
    </row>
    <row r="179" spans="5:5" ht="12.5">
      <c r="E179" s="3"/>
    </row>
    <row r="180" spans="5:5" ht="12.5">
      <c r="E180" s="3"/>
    </row>
    <row r="181" spans="5:5" ht="12.5">
      <c r="E181" s="3"/>
    </row>
    <row r="182" spans="5:5" ht="12.5">
      <c r="E182" s="3"/>
    </row>
    <row r="183" spans="5:5" ht="12.5">
      <c r="E183" s="3"/>
    </row>
    <row r="184" spans="5:5" ht="12.5">
      <c r="E184" s="3"/>
    </row>
    <row r="185" spans="5:5" ht="12.5">
      <c r="E185" s="3"/>
    </row>
    <row r="186" spans="5:5" ht="12.5">
      <c r="E186" s="3"/>
    </row>
    <row r="187" spans="5:5" ht="12.5">
      <c r="E187" s="3"/>
    </row>
    <row r="188" spans="5:5" ht="12.5">
      <c r="E188" s="3"/>
    </row>
    <row r="189" spans="5:5" ht="12.5">
      <c r="E189" s="3"/>
    </row>
    <row r="190" spans="5:5" ht="12.5">
      <c r="E190" s="3"/>
    </row>
    <row r="191" spans="5:5" ht="12.5">
      <c r="E191" s="3"/>
    </row>
    <row r="192" spans="5:5" ht="12.5">
      <c r="E192" s="3"/>
    </row>
    <row r="193" spans="5:5" ht="12.5">
      <c r="E193" s="3"/>
    </row>
    <row r="194" spans="5:5" ht="12.5">
      <c r="E194" s="3"/>
    </row>
    <row r="195" spans="5:5" ht="12.5">
      <c r="E195" s="3"/>
    </row>
    <row r="196" spans="5:5" ht="12.5">
      <c r="E196" s="3"/>
    </row>
    <row r="197" spans="5:5" ht="12.5">
      <c r="E197" s="3"/>
    </row>
    <row r="198" spans="5:5" ht="12.5">
      <c r="E198" s="3"/>
    </row>
    <row r="199" spans="5:5" ht="12.5">
      <c r="E199" s="3"/>
    </row>
    <row r="200" spans="5:5" ht="12.5">
      <c r="E200" s="3"/>
    </row>
    <row r="201" spans="5:5" ht="12.5">
      <c r="E201" s="3"/>
    </row>
    <row r="202" spans="5:5" ht="12.5">
      <c r="E202" s="3"/>
    </row>
    <row r="203" spans="5:5" ht="12.5">
      <c r="E203" s="3"/>
    </row>
    <row r="204" spans="5:5" ht="12.5">
      <c r="E204" s="3"/>
    </row>
    <row r="205" spans="5:5" ht="12.5">
      <c r="E205" s="3"/>
    </row>
    <row r="206" spans="5:5" ht="12.5">
      <c r="E206" s="3"/>
    </row>
    <row r="207" spans="5:5" ht="12.5">
      <c r="E207" s="3"/>
    </row>
    <row r="208" spans="5:5" ht="12.5">
      <c r="E208" s="3"/>
    </row>
    <row r="209" spans="5:5" ht="12.5">
      <c r="E209" s="3"/>
    </row>
    <row r="210" spans="5:5" ht="12.5">
      <c r="E210" s="3"/>
    </row>
    <row r="211" spans="5:5" ht="12.5">
      <c r="E211" s="3"/>
    </row>
    <row r="212" spans="5:5" ht="12.5">
      <c r="E212" s="3"/>
    </row>
    <row r="213" spans="5:5" ht="12.5">
      <c r="E213" s="3"/>
    </row>
    <row r="214" spans="5:5" ht="12.5">
      <c r="E214" s="3"/>
    </row>
    <row r="215" spans="5:5" ht="12.5">
      <c r="E215" s="3"/>
    </row>
    <row r="216" spans="5:5" ht="12.5">
      <c r="E216" s="3"/>
    </row>
    <row r="217" spans="5:5" ht="12.5">
      <c r="E217" s="3"/>
    </row>
    <row r="218" spans="5:5" ht="12.5">
      <c r="E218" s="3"/>
    </row>
    <row r="219" spans="5:5" ht="12.5">
      <c r="E219" s="3"/>
    </row>
    <row r="220" spans="5:5" ht="12.5">
      <c r="E220" s="3"/>
    </row>
    <row r="221" spans="5:5" ht="12.5">
      <c r="E221" s="3"/>
    </row>
    <row r="222" spans="5:5" ht="12.5">
      <c r="E222" s="3"/>
    </row>
    <row r="223" spans="5:5" ht="12.5">
      <c r="E223" s="3"/>
    </row>
    <row r="224" spans="5:5" ht="12.5">
      <c r="E224" s="3"/>
    </row>
    <row r="225" spans="5:5" ht="12.5">
      <c r="E225" s="3"/>
    </row>
    <row r="226" spans="5:5" ht="12.5">
      <c r="E226" s="3"/>
    </row>
    <row r="227" spans="5:5" ht="12.5">
      <c r="E227" s="3"/>
    </row>
    <row r="228" spans="5:5" ht="12.5">
      <c r="E228" s="3"/>
    </row>
    <row r="229" spans="5:5" ht="12.5">
      <c r="E229" s="3"/>
    </row>
    <row r="230" spans="5:5" ht="12.5">
      <c r="E230" s="3"/>
    </row>
    <row r="231" spans="5:5" ht="12.5">
      <c r="E231" s="3"/>
    </row>
    <row r="232" spans="5:5" ht="12.5">
      <c r="E232" s="3"/>
    </row>
    <row r="233" spans="5:5" ht="12.5">
      <c r="E233" s="3"/>
    </row>
    <row r="234" spans="5:5" ht="12.5">
      <c r="E234" s="3"/>
    </row>
    <row r="235" spans="5:5" ht="12.5">
      <c r="E235" s="3"/>
    </row>
    <row r="236" spans="5:5" ht="12.5">
      <c r="E236" s="3"/>
    </row>
    <row r="237" spans="5:5" ht="12.5">
      <c r="E237" s="3"/>
    </row>
    <row r="238" spans="5:5" ht="12.5">
      <c r="E238" s="3"/>
    </row>
    <row r="239" spans="5:5" ht="12.5">
      <c r="E239" s="3"/>
    </row>
    <row r="240" spans="5:5" ht="12.5">
      <c r="E240" s="3"/>
    </row>
    <row r="241" spans="5:5" ht="12.5">
      <c r="E241" s="3"/>
    </row>
    <row r="242" spans="5:5" ht="12.5">
      <c r="E242" s="3"/>
    </row>
    <row r="243" spans="5:5" ht="12.5">
      <c r="E243" s="3"/>
    </row>
    <row r="244" spans="5:5" ht="12.5">
      <c r="E244" s="3"/>
    </row>
    <row r="245" spans="5:5" ht="12.5">
      <c r="E245" s="3"/>
    </row>
    <row r="246" spans="5:5" ht="12.5">
      <c r="E246" s="3"/>
    </row>
    <row r="247" spans="5:5" ht="12.5">
      <c r="E247" s="3"/>
    </row>
    <row r="248" spans="5:5" ht="12.5">
      <c r="E248" s="3"/>
    </row>
    <row r="249" spans="5:5" ht="12.5">
      <c r="E249" s="3"/>
    </row>
    <row r="250" spans="5:5" ht="12.5">
      <c r="E250" s="3"/>
    </row>
    <row r="251" spans="5:5" ht="12.5">
      <c r="E251" s="3"/>
    </row>
    <row r="252" spans="5:5" ht="12.5">
      <c r="E252" s="3"/>
    </row>
    <row r="253" spans="5:5" ht="12.5">
      <c r="E253" s="3"/>
    </row>
    <row r="254" spans="5:5" ht="12.5">
      <c r="E254" s="3"/>
    </row>
    <row r="255" spans="5:5" ht="12.5">
      <c r="E255" s="3"/>
    </row>
    <row r="256" spans="5:5" ht="12.5">
      <c r="E256" s="3"/>
    </row>
    <row r="257" spans="5:5" ht="12.5">
      <c r="E257" s="3"/>
    </row>
    <row r="258" spans="5:5" ht="12.5">
      <c r="E258" s="3"/>
    </row>
    <row r="259" spans="5:5" ht="12.5">
      <c r="E259" s="3"/>
    </row>
    <row r="260" spans="5:5" ht="12.5">
      <c r="E260" s="3"/>
    </row>
    <row r="261" spans="5:5" ht="12.5">
      <c r="E261" s="3"/>
    </row>
    <row r="262" spans="5:5" ht="12.5">
      <c r="E262" s="3"/>
    </row>
    <row r="263" spans="5:5" ht="12.5">
      <c r="E263" s="3"/>
    </row>
    <row r="264" spans="5:5" ht="12.5">
      <c r="E264" s="3"/>
    </row>
    <row r="265" spans="5:5" ht="12.5">
      <c r="E265" s="3"/>
    </row>
    <row r="266" spans="5:5" ht="12.5">
      <c r="E266" s="3"/>
    </row>
    <row r="267" spans="5:5" ht="12.5">
      <c r="E267" s="3"/>
    </row>
    <row r="268" spans="5:5" ht="12.5">
      <c r="E268" s="3"/>
    </row>
    <row r="269" spans="5:5" ht="12.5">
      <c r="E269" s="3"/>
    </row>
    <row r="270" spans="5:5" ht="12.5">
      <c r="E270" s="3"/>
    </row>
    <row r="271" spans="5:5" ht="12.5">
      <c r="E271" s="3"/>
    </row>
    <row r="272" spans="5:5" ht="12.5">
      <c r="E272" s="3"/>
    </row>
    <row r="273" spans="5:5" ht="12.5">
      <c r="E273" s="3"/>
    </row>
    <row r="274" spans="5:5" ht="12.5">
      <c r="E274" s="3"/>
    </row>
    <row r="275" spans="5:5" ht="12.5">
      <c r="E275" s="3"/>
    </row>
    <row r="276" spans="5:5" ht="12.5">
      <c r="E276" s="3"/>
    </row>
    <row r="277" spans="5:5" ht="12.5">
      <c r="E277" s="3"/>
    </row>
    <row r="278" spans="5:5" ht="12.5">
      <c r="E278" s="3"/>
    </row>
    <row r="279" spans="5:5" ht="12.5">
      <c r="E279" s="3"/>
    </row>
    <row r="280" spans="5:5" ht="12.5">
      <c r="E280" s="3"/>
    </row>
    <row r="281" spans="5:5" ht="12.5">
      <c r="E281" s="3"/>
    </row>
    <row r="282" spans="5:5" ht="12.5">
      <c r="E282" s="3"/>
    </row>
    <row r="283" spans="5:5" ht="12.5">
      <c r="E283" s="3"/>
    </row>
    <row r="284" spans="5:5" ht="12.5">
      <c r="E284" s="3"/>
    </row>
    <row r="285" spans="5:5" ht="12.5">
      <c r="E285" s="3"/>
    </row>
    <row r="286" spans="5:5" ht="12.5">
      <c r="E286" s="3"/>
    </row>
    <row r="287" spans="5:5" ht="12.5">
      <c r="E287" s="3"/>
    </row>
    <row r="288" spans="5:5" ht="12.5">
      <c r="E288" s="3"/>
    </row>
    <row r="289" spans="5:5" ht="12.5">
      <c r="E289" s="3"/>
    </row>
    <row r="290" spans="5:5" ht="12.5">
      <c r="E290" s="3"/>
    </row>
    <row r="291" spans="5:5" ht="12.5">
      <c r="E291" s="3"/>
    </row>
    <row r="292" spans="5:5" ht="12.5">
      <c r="E292" s="3"/>
    </row>
    <row r="293" spans="5:5" ht="12.5">
      <c r="E293" s="3"/>
    </row>
    <row r="294" spans="5:5" ht="12.5">
      <c r="E294" s="3"/>
    </row>
    <row r="295" spans="5:5" ht="12.5">
      <c r="E295" s="3"/>
    </row>
    <row r="296" spans="5:5" ht="12.5">
      <c r="E296" s="3"/>
    </row>
    <row r="297" spans="5:5" ht="12.5">
      <c r="E297" s="3"/>
    </row>
    <row r="298" spans="5:5" ht="12.5">
      <c r="E298" s="3"/>
    </row>
    <row r="299" spans="5:5" ht="12.5">
      <c r="E299" s="3"/>
    </row>
    <row r="300" spans="5:5" ht="12.5">
      <c r="E300" s="3"/>
    </row>
    <row r="301" spans="5:5" ht="12.5">
      <c r="E301" s="3"/>
    </row>
    <row r="302" spans="5:5" ht="12.5">
      <c r="E302" s="3"/>
    </row>
    <row r="303" spans="5:5" ht="12.5">
      <c r="E303" s="3"/>
    </row>
    <row r="304" spans="5:5" ht="12.5">
      <c r="E304" s="3"/>
    </row>
    <row r="305" spans="5:5" ht="12.5">
      <c r="E305" s="3"/>
    </row>
    <row r="306" spans="5:5" ht="12.5">
      <c r="E306" s="3"/>
    </row>
    <row r="307" spans="5:5" ht="12.5">
      <c r="E307" s="3"/>
    </row>
    <row r="308" spans="5:5" ht="12.5">
      <c r="E308" s="3"/>
    </row>
    <row r="309" spans="5:5" ht="12.5">
      <c r="E309" s="3"/>
    </row>
    <row r="310" spans="5:5" ht="12.5">
      <c r="E310" s="3"/>
    </row>
    <row r="311" spans="5:5" ht="12.5">
      <c r="E311" s="3"/>
    </row>
    <row r="312" spans="5:5" ht="12.5">
      <c r="E312" s="3"/>
    </row>
    <row r="313" spans="5:5" ht="12.5">
      <c r="E313" s="3"/>
    </row>
    <row r="314" spans="5:5" ht="12.5">
      <c r="E314" s="3"/>
    </row>
    <row r="315" spans="5:5" ht="12.5">
      <c r="E315" s="3"/>
    </row>
    <row r="316" spans="5:5" ht="12.5">
      <c r="E316" s="3"/>
    </row>
    <row r="317" spans="5:5" ht="12.5">
      <c r="E317" s="3"/>
    </row>
    <row r="318" spans="5:5" ht="12.5">
      <c r="E318" s="3"/>
    </row>
    <row r="319" spans="5:5" ht="12.5">
      <c r="E319" s="3"/>
    </row>
    <row r="320" spans="5:5" ht="12.5">
      <c r="E320" s="3"/>
    </row>
    <row r="321" spans="5:5" ht="12.5">
      <c r="E321" s="3"/>
    </row>
    <row r="322" spans="5:5" ht="12.5">
      <c r="E322" s="3"/>
    </row>
    <row r="323" spans="5:5" ht="12.5">
      <c r="E323" s="3"/>
    </row>
    <row r="324" spans="5:5" ht="12.5">
      <c r="E324" s="3"/>
    </row>
    <row r="325" spans="5:5" ht="12.5">
      <c r="E325" s="3"/>
    </row>
    <row r="326" spans="5:5" ht="12.5">
      <c r="E326" s="3"/>
    </row>
    <row r="327" spans="5:5" ht="12.5">
      <c r="E327" s="3"/>
    </row>
    <row r="328" spans="5:5" ht="12.5">
      <c r="E328" s="3"/>
    </row>
    <row r="329" spans="5:5" ht="12.5">
      <c r="E329" s="3"/>
    </row>
    <row r="330" spans="5:5" ht="12.5">
      <c r="E330" s="3"/>
    </row>
    <row r="331" spans="5:5" ht="12.5">
      <c r="E331" s="3"/>
    </row>
    <row r="332" spans="5:5" ht="12.5">
      <c r="E332" s="3"/>
    </row>
    <row r="333" spans="5:5" ht="12.5">
      <c r="E333" s="3"/>
    </row>
    <row r="334" spans="5:5" ht="12.5">
      <c r="E334" s="3"/>
    </row>
    <row r="335" spans="5:5" ht="12.5">
      <c r="E335" s="3"/>
    </row>
    <row r="336" spans="5:5" ht="12.5">
      <c r="E336" s="3"/>
    </row>
    <row r="337" spans="5:5" ht="12.5">
      <c r="E337" s="3"/>
    </row>
    <row r="338" spans="5:5" ht="12.5">
      <c r="E338" s="3"/>
    </row>
    <row r="339" spans="5:5" ht="12.5">
      <c r="E339" s="3"/>
    </row>
    <row r="340" spans="5:5" ht="12.5">
      <c r="E340" s="3"/>
    </row>
    <row r="341" spans="5:5" ht="12.5">
      <c r="E341" s="3"/>
    </row>
    <row r="342" spans="5:5" ht="12.5">
      <c r="E342" s="3"/>
    </row>
    <row r="343" spans="5:5" ht="12.5">
      <c r="E343" s="3"/>
    </row>
    <row r="344" spans="5:5" ht="12.5">
      <c r="E344" s="3"/>
    </row>
    <row r="345" spans="5:5" ht="12.5">
      <c r="E345" s="3"/>
    </row>
    <row r="346" spans="5:5" ht="12.5">
      <c r="E346" s="3"/>
    </row>
    <row r="347" spans="5:5" ht="12.5">
      <c r="E347" s="3"/>
    </row>
    <row r="348" spans="5:5" ht="12.5">
      <c r="E348" s="3"/>
    </row>
    <row r="349" spans="5:5" ht="12.5">
      <c r="E349" s="3"/>
    </row>
    <row r="350" spans="5:5" ht="12.5">
      <c r="E350" s="3"/>
    </row>
    <row r="351" spans="5:5" ht="12.5">
      <c r="E351" s="3"/>
    </row>
    <row r="352" spans="5:5" ht="12.5">
      <c r="E352" s="3"/>
    </row>
    <row r="353" spans="5:5" ht="12.5">
      <c r="E353" s="3"/>
    </row>
    <row r="354" spans="5:5" ht="12.5">
      <c r="E354" s="3"/>
    </row>
    <row r="355" spans="5:5" ht="12.5">
      <c r="E355" s="3"/>
    </row>
    <row r="356" spans="5:5" ht="12.5">
      <c r="E356" s="3"/>
    </row>
    <row r="357" spans="5:5" ht="12.5">
      <c r="E357" s="3"/>
    </row>
    <row r="358" spans="5:5" ht="12.5">
      <c r="E358" s="3"/>
    </row>
    <row r="359" spans="5:5" ht="12.5">
      <c r="E359" s="3"/>
    </row>
    <row r="360" spans="5:5" ht="12.5">
      <c r="E360" s="3"/>
    </row>
    <row r="361" spans="5:5" ht="12.5">
      <c r="E361" s="3"/>
    </row>
    <row r="362" spans="5:5" ht="12.5">
      <c r="E362" s="3"/>
    </row>
    <row r="363" spans="5:5" ht="12.5">
      <c r="E363" s="3"/>
    </row>
    <row r="364" spans="5:5" ht="12.5">
      <c r="E364" s="3"/>
    </row>
    <row r="365" spans="5:5" ht="12.5">
      <c r="E365" s="3"/>
    </row>
    <row r="366" spans="5:5" ht="12.5">
      <c r="E366" s="3"/>
    </row>
    <row r="367" spans="5:5" ht="12.5">
      <c r="E367" s="3"/>
    </row>
    <row r="368" spans="5:5" ht="12.5">
      <c r="E368" s="3"/>
    </row>
    <row r="369" spans="5:5" ht="12.5">
      <c r="E369" s="3"/>
    </row>
    <row r="370" spans="5:5" ht="12.5">
      <c r="E370" s="3"/>
    </row>
    <row r="371" spans="5:5" ht="12.5">
      <c r="E371" s="3"/>
    </row>
    <row r="372" spans="5:5" ht="12.5">
      <c r="E372" s="3"/>
    </row>
    <row r="373" spans="5:5" ht="12.5">
      <c r="E373" s="3"/>
    </row>
    <row r="374" spans="5:5" ht="12.5">
      <c r="E374" s="3"/>
    </row>
    <row r="375" spans="5:5" ht="12.5">
      <c r="E375" s="3"/>
    </row>
    <row r="376" spans="5:5" ht="12.5">
      <c r="E376" s="3"/>
    </row>
    <row r="377" spans="5:5" ht="12.5">
      <c r="E377" s="3"/>
    </row>
    <row r="378" spans="5:5" ht="12.5">
      <c r="E378" s="3"/>
    </row>
    <row r="379" spans="5:5" ht="12.5">
      <c r="E379" s="3"/>
    </row>
    <row r="380" spans="5:5" ht="12.5">
      <c r="E380" s="3"/>
    </row>
    <row r="381" spans="5:5" ht="12.5">
      <c r="E381" s="3"/>
    </row>
    <row r="382" spans="5:5" ht="12.5">
      <c r="E382" s="3"/>
    </row>
    <row r="383" spans="5:5" ht="12.5">
      <c r="E383" s="3"/>
    </row>
    <row r="384" spans="5:5" ht="12.5">
      <c r="E384" s="3"/>
    </row>
    <row r="385" spans="5:5" ht="12.5">
      <c r="E385" s="3"/>
    </row>
    <row r="386" spans="5:5" ht="12.5">
      <c r="E386" s="3"/>
    </row>
    <row r="387" spans="5:5" ht="12.5">
      <c r="E387" s="3"/>
    </row>
    <row r="388" spans="5:5" ht="12.5">
      <c r="E388" s="3"/>
    </row>
    <row r="389" spans="5:5" ht="12.5">
      <c r="E389" s="3"/>
    </row>
    <row r="390" spans="5:5" ht="12.5">
      <c r="E390" s="3"/>
    </row>
    <row r="391" spans="5:5" ht="12.5">
      <c r="E391" s="3"/>
    </row>
    <row r="392" spans="5:5" ht="12.5">
      <c r="E392" s="3"/>
    </row>
    <row r="393" spans="5:5" ht="12.5">
      <c r="E393" s="3"/>
    </row>
    <row r="394" spans="5:5" ht="12.5">
      <c r="E394" s="3"/>
    </row>
    <row r="395" spans="5:5" ht="12.5">
      <c r="E395" s="3"/>
    </row>
    <row r="396" spans="5:5" ht="12.5">
      <c r="E396" s="3"/>
    </row>
    <row r="397" spans="5:5" ht="12.5">
      <c r="E397" s="3"/>
    </row>
    <row r="398" spans="5:5" ht="12.5">
      <c r="E398" s="3"/>
    </row>
    <row r="399" spans="5:5" ht="12.5">
      <c r="E399" s="3"/>
    </row>
    <row r="400" spans="5:5" ht="12.5">
      <c r="E400" s="3"/>
    </row>
    <row r="401" spans="5:5" ht="12.5">
      <c r="E401" s="3"/>
    </row>
    <row r="402" spans="5:5" ht="12.5">
      <c r="E402" s="3"/>
    </row>
    <row r="403" spans="5:5" ht="12.5">
      <c r="E403" s="3"/>
    </row>
    <row r="404" spans="5:5" ht="12.5">
      <c r="E404" s="3"/>
    </row>
    <row r="405" spans="5:5" ht="12.5">
      <c r="E405" s="3"/>
    </row>
    <row r="406" spans="5:5" ht="12.5">
      <c r="E406" s="3"/>
    </row>
    <row r="407" spans="5:5" ht="12.5">
      <c r="E407" s="3"/>
    </row>
    <row r="408" spans="5:5" ht="12.5">
      <c r="E408" s="3"/>
    </row>
    <row r="409" spans="5:5" ht="12.5">
      <c r="E409" s="3"/>
    </row>
    <row r="410" spans="5:5" ht="12.5">
      <c r="E410" s="3"/>
    </row>
    <row r="411" spans="5:5" ht="12.5">
      <c r="E411" s="3"/>
    </row>
    <row r="412" spans="5:5" ht="12.5">
      <c r="E412" s="3"/>
    </row>
    <row r="413" spans="5:5" ht="12.5">
      <c r="E413" s="3"/>
    </row>
    <row r="414" spans="5:5" ht="12.5">
      <c r="E414" s="3"/>
    </row>
    <row r="415" spans="5:5" ht="12.5">
      <c r="E415" s="3"/>
    </row>
    <row r="416" spans="5:5" ht="12.5">
      <c r="E416" s="3"/>
    </row>
    <row r="417" spans="5:5" ht="12.5">
      <c r="E417" s="3"/>
    </row>
    <row r="418" spans="5:5" ht="12.5">
      <c r="E418" s="3"/>
    </row>
    <row r="419" spans="5:5" ht="12.5">
      <c r="E419" s="3"/>
    </row>
    <row r="420" spans="5:5" ht="12.5">
      <c r="E420" s="3"/>
    </row>
    <row r="421" spans="5:5" ht="12.5">
      <c r="E421" s="3"/>
    </row>
    <row r="422" spans="5:5" ht="12.5">
      <c r="E422" s="3"/>
    </row>
    <row r="423" spans="5:5" ht="12.5">
      <c r="E423" s="3"/>
    </row>
    <row r="424" spans="5:5" ht="12.5">
      <c r="E424" s="3"/>
    </row>
    <row r="425" spans="5:5" ht="12.5">
      <c r="E425" s="3"/>
    </row>
    <row r="426" spans="5:5" ht="12.5">
      <c r="E426" s="3"/>
    </row>
    <row r="427" spans="5:5" ht="12.5">
      <c r="E427" s="3"/>
    </row>
    <row r="428" spans="5:5" ht="12.5">
      <c r="E428" s="3"/>
    </row>
    <row r="429" spans="5:5" ht="12.5">
      <c r="E429" s="3"/>
    </row>
    <row r="430" spans="5:5" ht="12.5">
      <c r="E430" s="3"/>
    </row>
    <row r="431" spans="5:5" ht="12.5">
      <c r="E431" s="3"/>
    </row>
    <row r="432" spans="5:5" ht="12.5">
      <c r="E432" s="3"/>
    </row>
    <row r="433" spans="5:5" ht="12.5">
      <c r="E433" s="3"/>
    </row>
    <row r="434" spans="5:5" ht="12.5">
      <c r="E434" s="3"/>
    </row>
    <row r="435" spans="5:5" ht="12.5">
      <c r="E435" s="3"/>
    </row>
    <row r="436" spans="5:5" ht="12.5">
      <c r="E436" s="3"/>
    </row>
    <row r="437" spans="5:5" ht="12.5">
      <c r="E437" s="3"/>
    </row>
    <row r="438" spans="5:5" ht="12.5">
      <c r="E438" s="3"/>
    </row>
    <row r="439" spans="5:5" ht="12.5">
      <c r="E439" s="3"/>
    </row>
    <row r="440" spans="5:5" ht="12.5">
      <c r="E440" s="3"/>
    </row>
    <row r="441" spans="5:5" ht="12.5">
      <c r="E441" s="3"/>
    </row>
    <row r="442" spans="5:5" ht="12.5">
      <c r="E442" s="3"/>
    </row>
    <row r="443" spans="5:5" ht="12.5">
      <c r="E443" s="3"/>
    </row>
    <row r="444" spans="5:5" ht="12.5">
      <c r="E444" s="3"/>
    </row>
    <row r="445" spans="5:5" ht="12.5">
      <c r="E445" s="3"/>
    </row>
    <row r="446" spans="5:5" ht="12.5">
      <c r="E446" s="3"/>
    </row>
    <row r="447" spans="5:5" ht="12.5">
      <c r="E447" s="3"/>
    </row>
    <row r="448" spans="5:5" ht="12.5">
      <c r="E448" s="3"/>
    </row>
    <row r="449" spans="5:5" ht="12.5">
      <c r="E449" s="3"/>
    </row>
    <row r="450" spans="5:5" ht="12.5">
      <c r="E450" s="3"/>
    </row>
    <row r="451" spans="5:5" ht="12.5">
      <c r="E451" s="3"/>
    </row>
    <row r="452" spans="5:5" ht="12.5">
      <c r="E452" s="3"/>
    </row>
    <row r="453" spans="5:5" ht="12.5">
      <c r="E453" s="3"/>
    </row>
    <row r="454" spans="5:5" ht="12.5">
      <c r="E454" s="3"/>
    </row>
    <row r="455" spans="5:5" ht="12.5">
      <c r="E455" s="3"/>
    </row>
    <row r="456" spans="5:5" ht="12.5">
      <c r="E456" s="3"/>
    </row>
    <row r="457" spans="5:5" ht="12.5">
      <c r="E457" s="3"/>
    </row>
    <row r="458" spans="5:5" ht="12.5">
      <c r="E458" s="3"/>
    </row>
    <row r="459" spans="5:5" ht="12.5">
      <c r="E459" s="3"/>
    </row>
    <row r="460" spans="5:5" ht="12.5">
      <c r="E460" s="3"/>
    </row>
    <row r="461" spans="5:5" ht="12.5">
      <c r="E461" s="3"/>
    </row>
    <row r="462" spans="5:5" ht="12.5">
      <c r="E462" s="3"/>
    </row>
    <row r="463" spans="5:5" ht="12.5">
      <c r="E463" s="3"/>
    </row>
    <row r="464" spans="5:5" ht="12.5">
      <c r="E464" s="3"/>
    </row>
    <row r="465" spans="5:5" ht="12.5">
      <c r="E465" s="3"/>
    </row>
    <row r="466" spans="5:5" ht="12.5">
      <c r="E466" s="3"/>
    </row>
    <row r="467" spans="5:5" ht="12.5">
      <c r="E467" s="3"/>
    </row>
    <row r="468" spans="5:5" ht="12.5">
      <c r="E468" s="3"/>
    </row>
    <row r="469" spans="5:5" ht="12.5">
      <c r="E469" s="3"/>
    </row>
    <row r="470" spans="5:5" ht="12.5">
      <c r="E470" s="3"/>
    </row>
    <row r="471" spans="5:5" ht="12.5">
      <c r="E471" s="3"/>
    </row>
    <row r="472" spans="5:5" ht="12.5">
      <c r="E472" s="3"/>
    </row>
    <row r="473" spans="5:5" ht="12.5">
      <c r="E473" s="3"/>
    </row>
    <row r="474" spans="5:5" ht="12.5">
      <c r="E474" s="3"/>
    </row>
    <row r="475" spans="5:5" ht="12.5">
      <c r="E475" s="3"/>
    </row>
    <row r="476" spans="5:5" ht="12.5">
      <c r="E476" s="3"/>
    </row>
    <row r="477" spans="5:5" ht="12.5">
      <c r="E477" s="3"/>
    </row>
    <row r="478" spans="5:5" ht="12.5">
      <c r="E478" s="3"/>
    </row>
    <row r="479" spans="5:5" ht="12.5">
      <c r="E479" s="3"/>
    </row>
    <row r="480" spans="5:5" ht="12.5">
      <c r="E480" s="3"/>
    </row>
    <row r="481" spans="5:5" ht="12.5">
      <c r="E481" s="3"/>
    </row>
    <row r="482" spans="5:5" ht="12.5">
      <c r="E482" s="3"/>
    </row>
    <row r="483" spans="5:5" ht="12.5">
      <c r="E483" s="3"/>
    </row>
    <row r="484" spans="5:5" ht="12.5">
      <c r="E484" s="3"/>
    </row>
    <row r="485" spans="5:5" ht="12.5">
      <c r="E485" s="3"/>
    </row>
    <row r="486" spans="5:5" ht="12.5">
      <c r="E486" s="3"/>
    </row>
    <row r="487" spans="5:5" ht="12.5">
      <c r="E487" s="3"/>
    </row>
    <row r="488" spans="5:5" ht="12.5">
      <c r="E488" s="3"/>
    </row>
    <row r="489" spans="5:5" ht="12.5">
      <c r="E489" s="3"/>
    </row>
    <row r="490" spans="5:5" ht="12.5">
      <c r="E490" s="3"/>
    </row>
    <row r="491" spans="5:5" ht="12.5">
      <c r="E491" s="3"/>
    </row>
    <row r="492" spans="5:5" ht="12.5">
      <c r="E492" s="3"/>
    </row>
    <row r="493" spans="5:5" ht="12.5">
      <c r="E493" s="3"/>
    </row>
    <row r="494" spans="5:5" ht="12.5">
      <c r="E494" s="3"/>
    </row>
    <row r="495" spans="5:5" ht="12.5">
      <c r="E495" s="3"/>
    </row>
    <row r="496" spans="5:5" ht="12.5">
      <c r="E496" s="3"/>
    </row>
    <row r="497" spans="5:5" ht="12.5">
      <c r="E497" s="3"/>
    </row>
    <row r="498" spans="5:5" ht="12.5">
      <c r="E498" s="3"/>
    </row>
    <row r="499" spans="5:5" ht="12.5">
      <c r="E499" s="3"/>
    </row>
    <row r="500" spans="5:5" ht="12.5">
      <c r="E500" s="3"/>
    </row>
    <row r="501" spans="5:5" ht="12.5">
      <c r="E501" s="3"/>
    </row>
    <row r="502" spans="5:5" ht="12.5">
      <c r="E502" s="3"/>
    </row>
    <row r="503" spans="5:5" ht="12.5">
      <c r="E503" s="3"/>
    </row>
    <row r="504" spans="5:5" ht="12.5">
      <c r="E504" s="3"/>
    </row>
    <row r="505" spans="5:5" ht="12.5">
      <c r="E505" s="3"/>
    </row>
    <row r="506" spans="5:5" ht="12.5">
      <c r="E506" s="3"/>
    </row>
    <row r="507" spans="5:5" ht="12.5">
      <c r="E507" s="3"/>
    </row>
    <row r="508" spans="5:5" ht="12.5">
      <c r="E508" s="3"/>
    </row>
    <row r="509" spans="5:5" ht="12.5">
      <c r="E509" s="3"/>
    </row>
    <row r="510" spans="5:5" ht="12.5">
      <c r="E510" s="3"/>
    </row>
    <row r="511" spans="5:5" ht="12.5">
      <c r="E511" s="3"/>
    </row>
    <row r="512" spans="5:5" ht="12.5">
      <c r="E512" s="3"/>
    </row>
    <row r="513" spans="5:5" ht="12.5">
      <c r="E513" s="3"/>
    </row>
    <row r="514" spans="5:5" ht="12.5">
      <c r="E514" s="3"/>
    </row>
    <row r="515" spans="5:5" ht="12.5">
      <c r="E515" s="3"/>
    </row>
    <row r="516" spans="5:5" ht="12.5">
      <c r="E516" s="3"/>
    </row>
    <row r="517" spans="5:5" ht="12.5">
      <c r="E517" s="3"/>
    </row>
    <row r="518" spans="5:5" ht="12.5">
      <c r="E518" s="3"/>
    </row>
    <row r="519" spans="5:5" ht="12.5">
      <c r="E519" s="3"/>
    </row>
    <row r="520" spans="5:5" ht="12.5">
      <c r="E520" s="3"/>
    </row>
    <row r="521" spans="5:5" ht="12.5">
      <c r="E521" s="3"/>
    </row>
    <row r="522" spans="5:5" ht="12.5">
      <c r="E522" s="3"/>
    </row>
    <row r="523" spans="5:5" ht="12.5">
      <c r="E523" s="3"/>
    </row>
    <row r="524" spans="5:5" ht="12.5">
      <c r="E524" s="3"/>
    </row>
    <row r="525" spans="5:5" ht="12.5">
      <c r="E525" s="3"/>
    </row>
    <row r="526" spans="5:5" ht="12.5">
      <c r="E526" s="3"/>
    </row>
    <row r="527" spans="5:5" ht="12.5">
      <c r="E527" s="3"/>
    </row>
    <row r="528" spans="5:5" ht="12.5">
      <c r="E528" s="3"/>
    </row>
    <row r="529" spans="5:5" ht="12.5">
      <c r="E529" s="3"/>
    </row>
    <row r="530" spans="5:5" ht="12.5">
      <c r="E530" s="3"/>
    </row>
    <row r="531" spans="5:5" ht="12.5">
      <c r="E531" s="3"/>
    </row>
    <row r="532" spans="5:5" ht="12.5">
      <c r="E532" s="3"/>
    </row>
    <row r="533" spans="5:5" ht="12.5">
      <c r="E533" s="3"/>
    </row>
    <row r="534" spans="5:5" ht="12.5">
      <c r="E534" s="3"/>
    </row>
    <row r="535" spans="5:5" ht="12.5">
      <c r="E535" s="3"/>
    </row>
    <row r="536" spans="5:5" ht="12.5">
      <c r="E536" s="3"/>
    </row>
    <row r="537" spans="5:5" ht="12.5">
      <c r="E537" s="3"/>
    </row>
    <row r="538" spans="5:5" ht="12.5">
      <c r="E538" s="3"/>
    </row>
    <row r="539" spans="5:5" ht="12.5">
      <c r="E539" s="3"/>
    </row>
    <row r="540" spans="5:5" ht="12.5">
      <c r="E540" s="3"/>
    </row>
    <row r="541" spans="5:5" ht="12.5">
      <c r="E541" s="3"/>
    </row>
    <row r="542" spans="5:5" ht="12.5">
      <c r="E542" s="3"/>
    </row>
    <row r="543" spans="5:5" ht="12.5">
      <c r="E543" s="3"/>
    </row>
    <row r="544" spans="5:5" ht="12.5">
      <c r="E544" s="3"/>
    </row>
    <row r="545" spans="5:5" ht="12.5">
      <c r="E545" s="3"/>
    </row>
    <row r="546" spans="5:5" ht="12.5">
      <c r="E546" s="3"/>
    </row>
    <row r="547" spans="5:5" ht="12.5">
      <c r="E547" s="3"/>
    </row>
    <row r="548" spans="5:5" ht="12.5">
      <c r="E548" s="3"/>
    </row>
    <row r="549" spans="5:5" ht="12.5">
      <c r="E549" s="3"/>
    </row>
    <row r="550" spans="5:5" ht="12.5">
      <c r="E550" s="3"/>
    </row>
    <row r="551" spans="5:5" ht="12.5">
      <c r="E551" s="3"/>
    </row>
    <row r="552" spans="5:5" ht="12.5">
      <c r="E552" s="3"/>
    </row>
    <row r="553" spans="5:5" ht="12.5">
      <c r="E553" s="3"/>
    </row>
    <row r="554" spans="5:5" ht="12.5">
      <c r="E554" s="3"/>
    </row>
    <row r="555" spans="5:5" ht="12.5">
      <c r="E555" s="3"/>
    </row>
    <row r="556" spans="5:5" ht="12.5">
      <c r="E556" s="3"/>
    </row>
    <row r="557" spans="5:5" ht="12.5">
      <c r="E557" s="3"/>
    </row>
    <row r="558" spans="5:5" ht="12.5">
      <c r="E558" s="3"/>
    </row>
    <row r="559" spans="5:5" ht="12.5">
      <c r="E559" s="3"/>
    </row>
    <row r="560" spans="5:5" ht="12.5">
      <c r="E560" s="3"/>
    </row>
    <row r="561" spans="5:5" ht="12.5">
      <c r="E561" s="3"/>
    </row>
    <row r="562" spans="5:5" ht="12.5">
      <c r="E562" s="3"/>
    </row>
    <row r="563" spans="5:5" ht="12.5">
      <c r="E563" s="3"/>
    </row>
    <row r="564" spans="5:5" ht="12.5">
      <c r="E564" s="3"/>
    </row>
    <row r="565" spans="5:5" ht="12.5">
      <c r="E565" s="3"/>
    </row>
    <row r="566" spans="5:5" ht="12.5">
      <c r="E566" s="3"/>
    </row>
    <row r="567" spans="5:5" ht="12.5">
      <c r="E567" s="3"/>
    </row>
    <row r="568" spans="5:5" ht="12.5">
      <c r="E568" s="3"/>
    </row>
    <row r="569" spans="5:5" ht="12.5">
      <c r="E569" s="3"/>
    </row>
    <row r="570" spans="5:5" ht="12.5">
      <c r="E570" s="3"/>
    </row>
    <row r="571" spans="5:5" ht="12.5">
      <c r="E571" s="3"/>
    </row>
    <row r="572" spans="5:5" ht="12.5">
      <c r="E572" s="3"/>
    </row>
    <row r="573" spans="5:5" ht="12.5">
      <c r="E573" s="3"/>
    </row>
    <row r="574" spans="5:5" ht="12.5">
      <c r="E574" s="3"/>
    </row>
    <row r="575" spans="5:5" ht="12.5">
      <c r="E575" s="3"/>
    </row>
    <row r="576" spans="5:5" ht="12.5">
      <c r="E576" s="3"/>
    </row>
    <row r="577" spans="5:5" ht="12.5">
      <c r="E577" s="3"/>
    </row>
    <row r="578" spans="5:5" ht="12.5">
      <c r="E578" s="3"/>
    </row>
    <row r="579" spans="5:5" ht="12.5">
      <c r="E579" s="3"/>
    </row>
    <row r="580" spans="5:5" ht="12.5">
      <c r="E580" s="3"/>
    </row>
    <row r="581" spans="5:5" ht="12.5">
      <c r="E581" s="3"/>
    </row>
    <row r="582" spans="5:5" ht="12.5">
      <c r="E582" s="3"/>
    </row>
    <row r="583" spans="5:5" ht="12.5">
      <c r="E583" s="3"/>
    </row>
    <row r="584" spans="5:5" ht="12.5">
      <c r="E584" s="3"/>
    </row>
    <row r="585" spans="5:5" ht="12.5">
      <c r="E585" s="3"/>
    </row>
    <row r="586" spans="5:5" ht="12.5">
      <c r="E586" s="3"/>
    </row>
    <row r="587" spans="5:5" ht="12.5">
      <c r="E587" s="3"/>
    </row>
    <row r="588" spans="5:5" ht="12.5">
      <c r="E588" s="3"/>
    </row>
    <row r="589" spans="5:5" ht="12.5">
      <c r="E589" s="3"/>
    </row>
    <row r="590" spans="5:5" ht="12.5">
      <c r="E590" s="3"/>
    </row>
    <row r="591" spans="5:5" ht="12.5">
      <c r="E591" s="3"/>
    </row>
    <row r="592" spans="5:5" ht="12.5">
      <c r="E592" s="3"/>
    </row>
    <row r="593" spans="5:5" ht="12.5">
      <c r="E593" s="3"/>
    </row>
    <row r="594" spans="5:5" ht="12.5">
      <c r="E594" s="3"/>
    </row>
    <row r="595" spans="5:5" ht="12.5">
      <c r="E595" s="3"/>
    </row>
    <row r="596" spans="5:5" ht="12.5">
      <c r="E596" s="3"/>
    </row>
    <row r="597" spans="5:5" ht="12.5">
      <c r="E597" s="3"/>
    </row>
    <row r="598" spans="5:5" ht="12.5">
      <c r="E598" s="3"/>
    </row>
    <row r="599" spans="5:5" ht="12.5">
      <c r="E599" s="3"/>
    </row>
    <row r="600" spans="5:5" ht="12.5">
      <c r="E600" s="3"/>
    </row>
    <row r="601" spans="5:5" ht="12.5">
      <c r="E601" s="3"/>
    </row>
    <row r="602" spans="5:5" ht="12.5">
      <c r="E602" s="3"/>
    </row>
    <row r="603" spans="5:5" ht="12.5">
      <c r="E603" s="3"/>
    </row>
    <row r="604" spans="5:5" ht="12.5">
      <c r="E604" s="3"/>
    </row>
    <row r="605" spans="5:5" ht="12.5">
      <c r="E605" s="3"/>
    </row>
    <row r="606" spans="5:5" ht="12.5">
      <c r="E606" s="3"/>
    </row>
    <row r="607" spans="5:5" ht="12.5">
      <c r="E607" s="3"/>
    </row>
    <row r="608" spans="5:5" ht="12.5">
      <c r="E608" s="3"/>
    </row>
    <row r="609" spans="5:5" ht="12.5">
      <c r="E609" s="3"/>
    </row>
    <row r="610" spans="5:5" ht="12.5">
      <c r="E610" s="3"/>
    </row>
    <row r="611" spans="5:5" ht="12.5">
      <c r="E611" s="3"/>
    </row>
    <row r="612" spans="5:5" ht="12.5">
      <c r="E612" s="3"/>
    </row>
    <row r="613" spans="5:5" ht="12.5">
      <c r="E613" s="3"/>
    </row>
    <row r="614" spans="5:5" ht="12.5">
      <c r="E614" s="3"/>
    </row>
    <row r="615" spans="5:5" ht="12.5">
      <c r="E615" s="3"/>
    </row>
    <row r="616" spans="5:5" ht="12.5">
      <c r="E616" s="3"/>
    </row>
    <row r="617" spans="5:5" ht="12.5">
      <c r="E617" s="3"/>
    </row>
    <row r="618" spans="5:5" ht="12.5">
      <c r="E618" s="3"/>
    </row>
    <row r="619" spans="5:5" ht="12.5">
      <c r="E619" s="3"/>
    </row>
    <row r="620" spans="5:5" ht="12.5">
      <c r="E620" s="3"/>
    </row>
    <row r="621" spans="5:5" ht="12.5">
      <c r="E621" s="3"/>
    </row>
    <row r="622" spans="5:5" ht="12.5">
      <c r="E622" s="3"/>
    </row>
    <row r="623" spans="5:5" ht="12.5">
      <c r="E623" s="3"/>
    </row>
    <row r="624" spans="5:5" ht="12.5">
      <c r="E624" s="3"/>
    </row>
    <row r="625" spans="5:5" ht="12.5">
      <c r="E625" s="3"/>
    </row>
    <row r="626" spans="5:5" ht="12.5">
      <c r="E626" s="3"/>
    </row>
    <row r="627" spans="5:5" ht="12.5">
      <c r="E627" s="3"/>
    </row>
    <row r="628" spans="5:5" ht="12.5">
      <c r="E628" s="3"/>
    </row>
    <row r="629" spans="5:5" ht="12.5">
      <c r="E629" s="3"/>
    </row>
    <row r="630" spans="5:5" ht="12.5">
      <c r="E630" s="3"/>
    </row>
    <row r="631" spans="5:5" ht="12.5">
      <c r="E631" s="3"/>
    </row>
    <row r="632" spans="5:5" ht="12.5">
      <c r="E632" s="3"/>
    </row>
    <row r="633" spans="5:5" ht="12.5">
      <c r="E633" s="3"/>
    </row>
    <row r="634" spans="5:5" ht="12.5">
      <c r="E634" s="3"/>
    </row>
    <row r="635" spans="5:5" ht="12.5">
      <c r="E635" s="3"/>
    </row>
    <row r="636" spans="5:5" ht="12.5">
      <c r="E636" s="3"/>
    </row>
    <row r="637" spans="5:5" ht="12.5">
      <c r="E637" s="3"/>
    </row>
    <row r="638" spans="5:5" ht="12.5">
      <c r="E638" s="3"/>
    </row>
    <row r="639" spans="5:5" ht="12.5">
      <c r="E639" s="3"/>
    </row>
    <row r="640" spans="5:5" ht="12.5">
      <c r="E640" s="3"/>
    </row>
    <row r="641" spans="5:5" ht="12.5">
      <c r="E641" s="3"/>
    </row>
    <row r="642" spans="5:5" ht="12.5">
      <c r="E642" s="3"/>
    </row>
    <row r="643" spans="5:5" ht="12.5">
      <c r="E643" s="3"/>
    </row>
    <row r="644" spans="5:5" ht="12.5">
      <c r="E644" s="3"/>
    </row>
    <row r="645" spans="5:5" ht="12.5">
      <c r="E645" s="3"/>
    </row>
    <row r="646" spans="5:5" ht="12.5">
      <c r="E646" s="3"/>
    </row>
    <row r="647" spans="5:5" ht="12.5">
      <c r="E647" s="3"/>
    </row>
    <row r="648" spans="5:5" ht="12.5">
      <c r="E648" s="3"/>
    </row>
    <row r="649" spans="5:5" ht="12.5">
      <c r="E649" s="3"/>
    </row>
    <row r="650" spans="5:5" ht="12.5">
      <c r="E650" s="3"/>
    </row>
    <row r="651" spans="5:5" ht="12.5">
      <c r="E651" s="3"/>
    </row>
    <row r="652" spans="5:5" ht="12.5">
      <c r="E652" s="3"/>
    </row>
    <row r="653" spans="5:5" ht="12.5">
      <c r="E653" s="3"/>
    </row>
    <row r="654" spans="5:5" ht="12.5">
      <c r="E654" s="3"/>
    </row>
    <row r="655" spans="5:5" ht="12.5">
      <c r="E655" s="3"/>
    </row>
    <row r="656" spans="5:5" ht="12.5">
      <c r="E656" s="3"/>
    </row>
    <row r="657" spans="5:5" ht="12.5">
      <c r="E657" s="3"/>
    </row>
    <row r="658" spans="5:5" ht="12.5">
      <c r="E658" s="3"/>
    </row>
    <row r="659" spans="5:5" ht="12.5">
      <c r="E659" s="3"/>
    </row>
    <row r="660" spans="5:5" ht="12.5">
      <c r="E660" s="3"/>
    </row>
    <row r="661" spans="5:5" ht="12.5">
      <c r="E661" s="3"/>
    </row>
    <row r="662" spans="5:5" ht="12.5">
      <c r="E662" s="3"/>
    </row>
    <row r="663" spans="5:5" ht="12.5">
      <c r="E663" s="3"/>
    </row>
    <row r="664" spans="5:5" ht="12.5">
      <c r="E664" s="3"/>
    </row>
    <row r="665" spans="5:5" ht="12.5">
      <c r="E665" s="3"/>
    </row>
    <row r="666" spans="5:5" ht="12.5">
      <c r="E666" s="3"/>
    </row>
    <row r="667" spans="5:5" ht="12.5">
      <c r="E667" s="3"/>
    </row>
    <row r="668" spans="5:5" ht="12.5">
      <c r="E668" s="3"/>
    </row>
    <row r="669" spans="5:5" ht="12.5">
      <c r="E669" s="3"/>
    </row>
    <row r="670" spans="5:5" ht="12.5">
      <c r="E670" s="3"/>
    </row>
    <row r="671" spans="5:5" ht="12.5">
      <c r="E671" s="3"/>
    </row>
    <row r="672" spans="5:5" ht="12.5">
      <c r="E672" s="3"/>
    </row>
    <row r="673" spans="5:5" ht="12.5">
      <c r="E673" s="3"/>
    </row>
    <row r="674" spans="5:5" ht="12.5">
      <c r="E674" s="3"/>
    </row>
    <row r="675" spans="5:5" ht="12.5">
      <c r="E675" s="3"/>
    </row>
    <row r="676" spans="5:5" ht="12.5">
      <c r="E676" s="3"/>
    </row>
    <row r="677" spans="5:5" ht="12.5">
      <c r="E677" s="3"/>
    </row>
    <row r="678" spans="5:5" ht="12.5">
      <c r="E678" s="3"/>
    </row>
    <row r="679" spans="5:5" ht="12.5">
      <c r="E679" s="3"/>
    </row>
    <row r="680" spans="5:5" ht="12.5">
      <c r="E680" s="3"/>
    </row>
    <row r="681" spans="5:5" ht="12.5">
      <c r="E681" s="3"/>
    </row>
    <row r="682" spans="5:5" ht="12.5">
      <c r="E682" s="3"/>
    </row>
    <row r="683" spans="5:5" ht="12.5">
      <c r="E683" s="3"/>
    </row>
    <row r="684" spans="5:5" ht="12.5">
      <c r="E684" s="3"/>
    </row>
    <row r="685" spans="5:5" ht="12.5">
      <c r="E685" s="3"/>
    </row>
    <row r="686" spans="5:5" ht="12.5">
      <c r="E686" s="3"/>
    </row>
    <row r="687" spans="5:5" ht="12.5">
      <c r="E687" s="3"/>
    </row>
    <row r="688" spans="5:5" ht="12.5">
      <c r="E688" s="3"/>
    </row>
    <row r="689" spans="5:5" ht="12.5">
      <c r="E689" s="3"/>
    </row>
    <row r="690" spans="5:5" ht="12.5">
      <c r="E690" s="3"/>
    </row>
    <row r="691" spans="5:5" ht="12.5">
      <c r="E691" s="3"/>
    </row>
    <row r="692" spans="5:5" ht="12.5">
      <c r="E692" s="3"/>
    </row>
    <row r="693" spans="5:5" ht="12.5">
      <c r="E693" s="3"/>
    </row>
    <row r="694" spans="5:5" ht="12.5">
      <c r="E694" s="3"/>
    </row>
    <row r="695" spans="5:5" ht="12.5">
      <c r="E695" s="3"/>
    </row>
    <row r="696" spans="5:5" ht="12.5">
      <c r="E696" s="3"/>
    </row>
    <row r="697" spans="5:5" ht="12.5">
      <c r="E697" s="3"/>
    </row>
    <row r="698" spans="5:5" ht="12.5">
      <c r="E698" s="3"/>
    </row>
    <row r="699" spans="5:5" ht="12.5">
      <c r="E699" s="3"/>
    </row>
    <row r="700" spans="5:5" ht="12.5">
      <c r="E700" s="3"/>
    </row>
    <row r="701" spans="5:5" ht="12.5">
      <c r="E701" s="3"/>
    </row>
    <row r="702" spans="5:5" ht="12.5">
      <c r="E702" s="3"/>
    </row>
    <row r="703" spans="5:5" ht="12.5">
      <c r="E703" s="3"/>
    </row>
    <row r="704" spans="5:5" ht="12.5">
      <c r="E704" s="3"/>
    </row>
    <row r="705" spans="5:5" ht="12.5">
      <c r="E705" s="3"/>
    </row>
    <row r="706" spans="5:5" ht="12.5">
      <c r="E706" s="3"/>
    </row>
    <row r="707" spans="5:5" ht="12.5">
      <c r="E707" s="3"/>
    </row>
    <row r="708" spans="5:5" ht="12.5">
      <c r="E708" s="3"/>
    </row>
    <row r="709" spans="5:5" ht="12.5">
      <c r="E709" s="3"/>
    </row>
    <row r="710" spans="5:5" ht="12.5">
      <c r="E710" s="3"/>
    </row>
    <row r="711" spans="5:5" ht="12.5">
      <c r="E711" s="3"/>
    </row>
    <row r="712" spans="5:5" ht="12.5">
      <c r="E712" s="3"/>
    </row>
    <row r="713" spans="5:5" ht="12.5">
      <c r="E713" s="3"/>
    </row>
    <row r="714" spans="5:5" ht="12.5">
      <c r="E714" s="3"/>
    </row>
    <row r="715" spans="5:5" ht="12.5">
      <c r="E715" s="3"/>
    </row>
    <row r="716" spans="5:5" ht="12.5">
      <c r="E716" s="3"/>
    </row>
    <row r="717" spans="5:5" ht="12.5">
      <c r="E717" s="3"/>
    </row>
    <row r="718" spans="5:5" ht="12.5">
      <c r="E718" s="3"/>
    </row>
    <row r="719" spans="5:5" ht="12.5">
      <c r="E719" s="3"/>
    </row>
    <row r="720" spans="5:5" ht="12.5">
      <c r="E720" s="3"/>
    </row>
    <row r="721" spans="5:5" ht="12.5">
      <c r="E721" s="3"/>
    </row>
    <row r="722" spans="5:5" ht="12.5">
      <c r="E722" s="3"/>
    </row>
    <row r="723" spans="5:5" ht="12.5">
      <c r="E723" s="3"/>
    </row>
    <row r="724" spans="5:5" ht="12.5">
      <c r="E724" s="3"/>
    </row>
    <row r="725" spans="5:5" ht="12.5">
      <c r="E725" s="3"/>
    </row>
    <row r="726" spans="5:5" ht="12.5">
      <c r="E726" s="3"/>
    </row>
    <row r="727" spans="5:5" ht="12.5">
      <c r="E727" s="3"/>
    </row>
    <row r="728" spans="5:5" ht="12.5">
      <c r="E728" s="3"/>
    </row>
    <row r="729" spans="5:5" ht="12.5">
      <c r="E729" s="3"/>
    </row>
    <row r="730" spans="5:5" ht="12.5">
      <c r="E730" s="3"/>
    </row>
    <row r="731" spans="5:5" ht="12.5">
      <c r="E731" s="3"/>
    </row>
    <row r="732" spans="5:5" ht="12.5">
      <c r="E732" s="3"/>
    </row>
    <row r="733" spans="5:5" ht="12.5">
      <c r="E733" s="3"/>
    </row>
    <row r="734" spans="5:5" ht="12.5">
      <c r="E734" s="3"/>
    </row>
    <row r="735" spans="5:5" ht="12.5">
      <c r="E735" s="3"/>
    </row>
    <row r="736" spans="5:5" ht="12.5">
      <c r="E736" s="3"/>
    </row>
    <row r="737" spans="5:5" ht="12.5">
      <c r="E737" s="3"/>
    </row>
    <row r="738" spans="5:5" ht="12.5">
      <c r="E738" s="3"/>
    </row>
    <row r="739" spans="5:5" ht="12.5">
      <c r="E739" s="3"/>
    </row>
    <row r="740" spans="5:5" ht="12.5">
      <c r="E740" s="3"/>
    </row>
    <row r="741" spans="5:5" ht="12.5">
      <c r="E741" s="3"/>
    </row>
    <row r="742" spans="5:5" ht="12.5">
      <c r="E742" s="3"/>
    </row>
    <row r="743" spans="5:5" ht="12.5">
      <c r="E743" s="3"/>
    </row>
    <row r="744" spans="5:5" ht="12.5">
      <c r="E744" s="3"/>
    </row>
    <row r="745" spans="5:5" ht="12.5">
      <c r="E745" s="3"/>
    </row>
    <row r="746" spans="5:5" ht="12.5">
      <c r="E746" s="3"/>
    </row>
    <row r="747" spans="5:5" ht="12.5">
      <c r="E747" s="3"/>
    </row>
    <row r="748" spans="5:5" ht="12.5">
      <c r="E748" s="3"/>
    </row>
    <row r="749" spans="5:5" ht="12.5">
      <c r="E749" s="3"/>
    </row>
    <row r="750" spans="5:5" ht="12.5">
      <c r="E750" s="3"/>
    </row>
    <row r="751" spans="5:5" ht="12.5">
      <c r="E751" s="3"/>
    </row>
    <row r="752" spans="5:5" ht="12.5">
      <c r="E752" s="3"/>
    </row>
    <row r="753" spans="5:5" ht="12.5">
      <c r="E753" s="3"/>
    </row>
    <row r="754" spans="5:5" ht="12.5">
      <c r="E754" s="3"/>
    </row>
    <row r="755" spans="5:5" ht="12.5">
      <c r="E755" s="3"/>
    </row>
    <row r="756" spans="5:5" ht="12.5">
      <c r="E756" s="3"/>
    </row>
    <row r="757" spans="5:5" ht="12.5">
      <c r="E757" s="3"/>
    </row>
    <row r="758" spans="5:5" ht="12.5">
      <c r="E758" s="3"/>
    </row>
    <row r="759" spans="5:5" ht="12.5">
      <c r="E759" s="3"/>
    </row>
    <row r="760" spans="5:5" ht="12.5">
      <c r="E760" s="3"/>
    </row>
    <row r="761" spans="5:5" ht="12.5">
      <c r="E761" s="3"/>
    </row>
    <row r="762" spans="5:5" ht="12.5">
      <c r="E762" s="3"/>
    </row>
    <row r="763" spans="5:5" ht="12.5">
      <c r="E763" s="3"/>
    </row>
    <row r="764" spans="5:5" ht="12.5">
      <c r="E764" s="3"/>
    </row>
    <row r="765" spans="5:5" ht="12.5">
      <c r="E765" s="3"/>
    </row>
    <row r="766" spans="5:5" ht="12.5">
      <c r="E766" s="3"/>
    </row>
    <row r="767" spans="5:5" ht="12.5">
      <c r="E767" s="3"/>
    </row>
    <row r="768" spans="5:5" ht="12.5">
      <c r="E768" s="3"/>
    </row>
    <row r="769" spans="5:5" ht="12.5">
      <c r="E769" s="3"/>
    </row>
    <row r="770" spans="5:5" ht="12.5">
      <c r="E770" s="3"/>
    </row>
    <row r="771" spans="5:5" ht="12.5">
      <c r="E771" s="3"/>
    </row>
    <row r="772" spans="5:5" ht="12.5">
      <c r="E772" s="3"/>
    </row>
    <row r="773" spans="5:5" ht="12.5">
      <c r="E773" s="3"/>
    </row>
    <row r="774" spans="5:5" ht="12.5">
      <c r="E774" s="3"/>
    </row>
    <row r="775" spans="5:5" ht="12.5">
      <c r="E775" s="3"/>
    </row>
    <row r="776" spans="5:5" ht="12.5">
      <c r="E776" s="3"/>
    </row>
    <row r="777" spans="5:5" ht="12.5">
      <c r="E777" s="3"/>
    </row>
    <row r="778" spans="5:5" ht="12.5">
      <c r="E778" s="3"/>
    </row>
    <row r="779" spans="5:5" ht="12.5">
      <c r="E779" s="3"/>
    </row>
    <row r="780" spans="5:5" ht="12.5">
      <c r="E780" s="3"/>
    </row>
    <row r="781" spans="5:5" ht="12.5">
      <c r="E781" s="3"/>
    </row>
    <row r="782" spans="5:5" ht="12.5">
      <c r="E782" s="3"/>
    </row>
    <row r="783" spans="5:5" ht="12.5">
      <c r="E783" s="3"/>
    </row>
    <row r="784" spans="5:5" ht="12.5">
      <c r="E784" s="3"/>
    </row>
    <row r="785" spans="5:5" ht="12.5">
      <c r="E785" s="3"/>
    </row>
    <row r="786" spans="5:5" ht="12.5">
      <c r="E786" s="3"/>
    </row>
    <row r="787" spans="5:5" ht="12.5">
      <c r="E787" s="3"/>
    </row>
    <row r="788" spans="5:5" ht="12.5">
      <c r="E788" s="3"/>
    </row>
    <row r="789" spans="5:5" ht="12.5">
      <c r="E789" s="3"/>
    </row>
    <row r="790" spans="5:5" ht="12.5">
      <c r="E790" s="3"/>
    </row>
    <row r="791" spans="5:5" ht="12.5">
      <c r="E791" s="3"/>
    </row>
    <row r="792" spans="5:5" ht="12.5">
      <c r="E792" s="3"/>
    </row>
    <row r="793" spans="5:5" ht="12.5">
      <c r="E793" s="3"/>
    </row>
    <row r="794" spans="5:5" ht="12.5">
      <c r="E794" s="3"/>
    </row>
    <row r="795" spans="5:5" ht="12.5">
      <c r="E795" s="3"/>
    </row>
    <row r="796" spans="5:5" ht="12.5">
      <c r="E796" s="3"/>
    </row>
    <row r="797" spans="5:5" ht="12.5">
      <c r="E797" s="3"/>
    </row>
    <row r="798" spans="5:5" ht="12.5">
      <c r="E798" s="3"/>
    </row>
    <row r="799" spans="5:5" ht="12.5">
      <c r="E799" s="3"/>
    </row>
    <row r="800" spans="5:5" ht="12.5">
      <c r="E800" s="3"/>
    </row>
    <row r="801" spans="5:5" ht="12.5">
      <c r="E801" s="3"/>
    </row>
    <row r="802" spans="5:5" ht="12.5">
      <c r="E802" s="3"/>
    </row>
    <row r="803" spans="5:5" ht="12.5">
      <c r="E803" s="3"/>
    </row>
    <row r="804" spans="5:5" ht="12.5">
      <c r="E804" s="3"/>
    </row>
    <row r="805" spans="5:5" ht="12.5">
      <c r="E805" s="3"/>
    </row>
    <row r="806" spans="5:5" ht="12.5">
      <c r="E806" s="3"/>
    </row>
    <row r="807" spans="5:5" ht="12.5">
      <c r="E807" s="3"/>
    </row>
    <row r="808" spans="5:5" ht="12.5">
      <c r="E808" s="3"/>
    </row>
    <row r="809" spans="5:5" ht="12.5">
      <c r="E809" s="3"/>
    </row>
    <row r="810" spans="5:5" ht="12.5">
      <c r="E810" s="3"/>
    </row>
    <row r="811" spans="5:5" ht="12.5">
      <c r="E811" s="3"/>
    </row>
    <row r="812" spans="5:5" ht="12.5">
      <c r="E812" s="3"/>
    </row>
    <row r="813" spans="5:5" ht="12.5">
      <c r="E813" s="3"/>
    </row>
    <row r="814" spans="5:5" ht="12.5">
      <c r="E814" s="3"/>
    </row>
    <row r="815" spans="5:5" ht="12.5">
      <c r="E815" s="3"/>
    </row>
    <row r="816" spans="5:5" ht="12.5">
      <c r="E816" s="3"/>
    </row>
    <row r="817" spans="5:5" ht="12.5">
      <c r="E817" s="3"/>
    </row>
    <row r="818" spans="5:5" ht="12.5">
      <c r="E818" s="3"/>
    </row>
    <row r="819" spans="5:5" ht="12.5">
      <c r="E819" s="3"/>
    </row>
    <row r="820" spans="5:5" ht="12.5">
      <c r="E820" s="3"/>
    </row>
    <row r="821" spans="5:5" ht="12.5">
      <c r="E821" s="3"/>
    </row>
    <row r="822" spans="5:5" ht="12.5">
      <c r="E822" s="3"/>
    </row>
    <row r="823" spans="5:5" ht="12.5">
      <c r="E823" s="3"/>
    </row>
    <row r="824" spans="5:5" ht="12.5">
      <c r="E824" s="3"/>
    </row>
    <row r="825" spans="5:5" ht="12.5">
      <c r="E825" s="3"/>
    </row>
    <row r="826" spans="5:5" ht="12.5">
      <c r="E826" s="3"/>
    </row>
    <row r="827" spans="5:5" ht="12.5">
      <c r="E827" s="3"/>
    </row>
    <row r="828" spans="5:5" ht="12.5">
      <c r="E828" s="3"/>
    </row>
    <row r="829" spans="5:5" ht="12.5">
      <c r="E829" s="3"/>
    </row>
    <row r="830" spans="5:5" ht="12.5">
      <c r="E830" s="3"/>
    </row>
    <row r="831" spans="5:5" ht="12.5">
      <c r="E831" s="3"/>
    </row>
    <row r="832" spans="5:5" ht="12.5">
      <c r="E832" s="3"/>
    </row>
    <row r="833" spans="5:5" ht="12.5">
      <c r="E833" s="3"/>
    </row>
    <row r="834" spans="5:5" ht="12.5">
      <c r="E834" s="3"/>
    </row>
    <row r="835" spans="5:5" ht="12.5">
      <c r="E835" s="3"/>
    </row>
    <row r="836" spans="5:5" ht="12.5">
      <c r="E836" s="3"/>
    </row>
    <row r="837" spans="5:5" ht="12.5">
      <c r="E837" s="3"/>
    </row>
    <row r="838" spans="5:5" ht="12.5">
      <c r="E838" s="3"/>
    </row>
    <row r="839" spans="5:5" ht="12.5">
      <c r="E839" s="3"/>
    </row>
    <row r="840" spans="5:5" ht="12.5">
      <c r="E840" s="3"/>
    </row>
    <row r="841" spans="5:5" ht="12.5">
      <c r="E841" s="3"/>
    </row>
    <row r="842" spans="5:5" ht="12.5">
      <c r="E842" s="3"/>
    </row>
    <row r="843" spans="5:5" ht="12.5">
      <c r="E843" s="3"/>
    </row>
    <row r="844" spans="5:5" ht="12.5">
      <c r="E844" s="3"/>
    </row>
    <row r="845" spans="5:5" ht="12.5">
      <c r="E845" s="3"/>
    </row>
    <row r="846" spans="5:5" ht="12.5">
      <c r="E846" s="3"/>
    </row>
    <row r="847" spans="5:5" ht="12.5">
      <c r="E847" s="3"/>
    </row>
    <row r="848" spans="5:5" ht="12.5">
      <c r="E848" s="3"/>
    </row>
    <row r="849" spans="5:5" ht="12.5">
      <c r="E849" s="3"/>
    </row>
    <row r="850" spans="5:5" ht="12.5">
      <c r="E850" s="3"/>
    </row>
    <row r="851" spans="5:5" ht="12.5">
      <c r="E851" s="3"/>
    </row>
    <row r="852" spans="5:5" ht="12.5">
      <c r="E852" s="3"/>
    </row>
    <row r="853" spans="5:5" ht="12.5">
      <c r="E853" s="3"/>
    </row>
    <row r="854" spans="5:5" ht="12.5">
      <c r="E854" s="3"/>
    </row>
    <row r="855" spans="5:5" ht="12.5">
      <c r="E855" s="3"/>
    </row>
    <row r="856" spans="5:5" ht="12.5">
      <c r="E856" s="3"/>
    </row>
    <row r="857" spans="5:5" ht="12.5">
      <c r="E857" s="3"/>
    </row>
    <row r="858" spans="5:5" ht="12.5">
      <c r="E858" s="3"/>
    </row>
    <row r="859" spans="5:5" ht="12.5">
      <c r="E859" s="3"/>
    </row>
    <row r="860" spans="5:5" ht="12.5">
      <c r="E860" s="3"/>
    </row>
    <row r="861" spans="5:5" ht="12.5">
      <c r="E861" s="3"/>
    </row>
    <row r="862" spans="5:5" ht="12.5">
      <c r="E862" s="3"/>
    </row>
    <row r="863" spans="5:5" ht="12.5">
      <c r="E863" s="3"/>
    </row>
    <row r="864" spans="5:5" ht="12.5">
      <c r="E864" s="3"/>
    </row>
    <row r="865" spans="5:5" ht="12.5">
      <c r="E865" s="3"/>
    </row>
    <row r="866" spans="5:5" ht="12.5">
      <c r="E866" s="3"/>
    </row>
    <row r="867" spans="5:5" ht="12.5">
      <c r="E867" s="3"/>
    </row>
    <row r="868" spans="5:5" ht="12.5">
      <c r="E868" s="3"/>
    </row>
    <row r="869" spans="5:5" ht="12.5">
      <c r="E869" s="3"/>
    </row>
    <row r="870" spans="5:5" ht="12.5">
      <c r="E870" s="3"/>
    </row>
    <row r="871" spans="5:5" ht="12.5">
      <c r="E871" s="3"/>
    </row>
    <row r="872" spans="5:5" ht="12.5">
      <c r="E872" s="3"/>
    </row>
    <row r="873" spans="5:5" ht="12.5">
      <c r="E873" s="3"/>
    </row>
    <row r="874" spans="5:5" ht="12.5">
      <c r="E874" s="3"/>
    </row>
    <row r="875" spans="5:5" ht="12.5">
      <c r="E875" s="3"/>
    </row>
    <row r="876" spans="5:5" ht="12.5">
      <c r="E876" s="3"/>
    </row>
    <row r="877" spans="5:5" ht="12.5">
      <c r="E877" s="3"/>
    </row>
    <row r="878" spans="5:5" ht="12.5">
      <c r="E878" s="3"/>
    </row>
    <row r="879" spans="5:5" ht="12.5">
      <c r="E879" s="3"/>
    </row>
    <row r="880" spans="5:5" ht="12.5">
      <c r="E880" s="3"/>
    </row>
    <row r="881" spans="5:5" ht="12.5">
      <c r="E881" s="3"/>
    </row>
    <row r="882" spans="5:5" ht="12.5">
      <c r="E882" s="3"/>
    </row>
    <row r="883" spans="5:5" ht="12.5">
      <c r="E883" s="3"/>
    </row>
    <row r="884" spans="5:5" ht="12.5">
      <c r="E884" s="3"/>
    </row>
    <row r="885" spans="5:5" ht="12.5">
      <c r="E885" s="3"/>
    </row>
    <row r="886" spans="5:5" ht="12.5">
      <c r="E886" s="3"/>
    </row>
    <row r="887" spans="5:5" ht="12.5">
      <c r="E887" s="3"/>
    </row>
    <row r="888" spans="5:5" ht="12.5">
      <c r="E888" s="3"/>
    </row>
    <row r="889" spans="5:5" ht="12.5">
      <c r="E889" s="3"/>
    </row>
    <row r="890" spans="5:5" ht="12.5">
      <c r="E890" s="3"/>
    </row>
    <row r="891" spans="5:5" ht="12.5">
      <c r="E891" s="3"/>
    </row>
    <row r="892" spans="5:5" ht="12.5">
      <c r="E892" s="3"/>
    </row>
    <row r="893" spans="5:5" ht="12.5">
      <c r="E893" s="3"/>
    </row>
    <row r="894" spans="5:5" ht="12.5">
      <c r="E894" s="3"/>
    </row>
    <row r="895" spans="5:5" ht="12.5">
      <c r="E895" s="3"/>
    </row>
    <row r="896" spans="5:5" ht="12.5">
      <c r="E896" s="3"/>
    </row>
    <row r="897" spans="5:5" ht="12.5">
      <c r="E897" s="3"/>
    </row>
    <row r="898" spans="5:5" ht="12.5">
      <c r="E898" s="3"/>
    </row>
    <row r="899" spans="5:5" ht="12.5">
      <c r="E899" s="3"/>
    </row>
    <row r="900" spans="5:5" ht="12.5">
      <c r="E900" s="3"/>
    </row>
    <row r="901" spans="5:5" ht="12.5">
      <c r="E901" s="3"/>
    </row>
    <row r="902" spans="5:5" ht="12.5">
      <c r="E902" s="3"/>
    </row>
    <row r="903" spans="5:5" ht="12.5">
      <c r="E903" s="3"/>
    </row>
    <row r="904" spans="5:5" ht="12.5">
      <c r="E904" s="3"/>
    </row>
    <row r="905" spans="5:5" ht="12.5">
      <c r="E905" s="3"/>
    </row>
    <row r="906" spans="5:5" ht="12.5">
      <c r="E906" s="3"/>
    </row>
    <row r="907" spans="5:5" ht="12.5">
      <c r="E907" s="3"/>
    </row>
    <row r="908" spans="5:5" ht="12.5">
      <c r="E908" s="3"/>
    </row>
    <row r="909" spans="5:5" ht="12.5">
      <c r="E909" s="3"/>
    </row>
    <row r="910" spans="5:5" ht="12.5">
      <c r="E910" s="3"/>
    </row>
    <row r="911" spans="5:5" ht="12.5">
      <c r="E911" s="3"/>
    </row>
    <row r="912" spans="5:5" ht="12.5">
      <c r="E912" s="3"/>
    </row>
    <row r="913" spans="5:5" ht="12.5">
      <c r="E913" s="3"/>
    </row>
    <row r="914" spans="5:5" ht="12.5">
      <c r="E914" s="3"/>
    </row>
    <row r="915" spans="5:5" ht="12.5">
      <c r="E915" s="3"/>
    </row>
    <row r="916" spans="5:5" ht="12.5">
      <c r="E916" s="3"/>
    </row>
    <row r="917" spans="5:5" ht="12.5">
      <c r="E917" s="3"/>
    </row>
    <row r="918" spans="5:5" ht="12.5">
      <c r="E918" s="3"/>
    </row>
    <row r="919" spans="5:5" ht="12.5">
      <c r="E919" s="3"/>
    </row>
    <row r="920" spans="5:5" ht="12.5">
      <c r="E920" s="3"/>
    </row>
    <row r="921" spans="5:5" ht="12.5">
      <c r="E921" s="3"/>
    </row>
    <row r="922" spans="5:5" ht="12.5">
      <c r="E922" s="3"/>
    </row>
    <row r="923" spans="5:5" ht="12.5">
      <c r="E923" s="3"/>
    </row>
    <row r="924" spans="5:5" ht="12.5">
      <c r="E924" s="3"/>
    </row>
    <row r="925" spans="5:5" ht="12.5">
      <c r="E925" s="3"/>
    </row>
    <row r="926" spans="5:5" ht="12.5">
      <c r="E926" s="3"/>
    </row>
    <row r="927" spans="5:5" ht="12.5">
      <c r="E927" s="3"/>
    </row>
    <row r="928" spans="5:5" ht="12.5">
      <c r="E928" s="3"/>
    </row>
    <row r="929" spans="5:5" ht="12.5">
      <c r="E929" s="3"/>
    </row>
    <row r="930" spans="5:5" ht="12.5">
      <c r="E930" s="3"/>
    </row>
    <row r="931" spans="5:5" ht="12.5">
      <c r="E931" s="3"/>
    </row>
    <row r="932" spans="5:5" ht="12.5">
      <c r="E932" s="3"/>
    </row>
    <row r="933" spans="5:5" ht="12.5">
      <c r="E933" s="3"/>
    </row>
    <row r="934" spans="5:5" ht="12.5">
      <c r="E934" s="3"/>
    </row>
    <row r="935" spans="5:5" ht="12.5">
      <c r="E935" s="3"/>
    </row>
    <row r="936" spans="5:5" ht="12.5">
      <c r="E936" s="3"/>
    </row>
    <row r="937" spans="5:5" ht="12.5">
      <c r="E937" s="3"/>
    </row>
    <row r="938" spans="5:5" ht="12.5">
      <c r="E938" s="3"/>
    </row>
    <row r="939" spans="5:5" ht="12.5">
      <c r="E939" s="3"/>
    </row>
    <row r="940" spans="5:5" ht="12.5">
      <c r="E940" s="3"/>
    </row>
    <row r="941" spans="5:5" ht="12.5">
      <c r="E941" s="3"/>
    </row>
    <row r="942" spans="5:5" ht="12.5">
      <c r="E942" s="3"/>
    </row>
    <row r="943" spans="5:5" ht="12.5">
      <c r="E943" s="3"/>
    </row>
    <row r="944" spans="5:5" ht="12.5">
      <c r="E944" s="3"/>
    </row>
    <row r="945" spans="5:5" ht="12.5">
      <c r="E945" s="3"/>
    </row>
    <row r="946" spans="5:5" ht="12.5">
      <c r="E946" s="3"/>
    </row>
    <row r="947" spans="5:5" ht="12.5">
      <c r="E947" s="3"/>
    </row>
    <row r="948" spans="5:5" ht="12.5">
      <c r="E948" s="3"/>
    </row>
    <row r="949" spans="5:5" ht="12.5">
      <c r="E949" s="3"/>
    </row>
    <row r="950" spans="5:5" ht="12.5">
      <c r="E950" s="3"/>
    </row>
    <row r="951" spans="5:5" ht="12.5">
      <c r="E951" s="3"/>
    </row>
    <row r="952" spans="5:5" ht="12.5">
      <c r="E952" s="3"/>
    </row>
    <row r="953" spans="5:5" ht="12.5">
      <c r="E953" s="3"/>
    </row>
    <row r="954" spans="5:5" ht="12.5">
      <c r="E954" s="3"/>
    </row>
    <row r="955" spans="5:5" ht="12.5">
      <c r="E955" s="3"/>
    </row>
    <row r="956" spans="5:5" ht="12.5">
      <c r="E956" s="3"/>
    </row>
    <row r="957" spans="5:5" ht="12.5">
      <c r="E957" s="3"/>
    </row>
    <row r="958" spans="5:5" ht="12.5">
      <c r="E958" s="3"/>
    </row>
    <row r="959" spans="5:5" ht="12.5">
      <c r="E959" s="3"/>
    </row>
    <row r="960" spans="5:5" ht="12.5">
      <c r="E960" s="3"/>
    </row>
    <row r="961" spans="5:5" ht="12.5">
      <c r="E961" s="3"/>
    </row>
    <row r="962" spans="5:5" ht="12.5">
      <c r="E962" s="3"/>
    </row>
    <row r="963" spans="5:5" ht="12.5">
      <c r="E963" s="3"/>
    </row>
    <row r="964" spans="5:5" ht="12.5">
      <c r="E964" s="3"/>
    </row>
    <row r="965" spans="5:5" ht="12.5">
      <c r="E965" s="3"/>
    </row>
    <row r="966" spans="5:5" ht="12.5">
      <c r="E966" s="3"/>
    </row>
    <row r="967" spans="5:5" ht="12.5">
      <c r="E967" s="3"/>
    </row>
    <row r="968" spans="5:5" ht="12.5">
      <c r="E968" s="3"/>
    </row>
    <row r="969" spans="5:5" ht="12.5">
      <c r="E969" s="3"/>
    </row>
    <row r="970" spans="5:5" ht="12.5">
      <c r="E970" s="3"/>
    </row>
    <row r="971" spans="5:5" ht="12.5">
      <c r="E971" s="3"/>
    </row>
    <row r="972" spans="5:5" ht="12.5">
      <c r="E972" s="3"/>
    </row>
    <row r="973" spans="5:5" ht="12.5">
      <c r="E973" s="3"/>
    </row>
    <row r="974" spans="5:5" ht="12.5">
      <c r="E974" s="3"/>
    </row>
    <row r="975" spans="5:5" ht="12.5">
      <c r="E975" s="3"/>
    </row>
    <row r="976" spans="5:5" ht="12.5">
      <c r="E976" s="3"/>
    </row>
    <row r="977" spans="5:5" ht="12.5">
      <c r="E977" s="3"/>
    </row>
    <row r="978" spans="5:5" ht="12.5">
      <c r="E978" s="3"/>
    </row>
    <row r="979" spans="5:5" ht="12.5">
      <c r="E979" s="3"/>
    </row>
    <row r="980" spans="5:5" ht="12.5">
      <c r="E980" s="3"/>
    </row>
    <row r="981" spans="5:5" ht="12.5">
      <c r="E981" s="3"/>
    </row>
    <row r="982" spans="5:5" ht="12.5">
      <c r="E982" s="3"/>
    </row>
    <row r="983" spans="5:5" ht="12.5">
      <c r="E983" s="3"/>
    </row>
    <row r="984" spans="5:5" ht="12.5">
      <c r="E984" s="3"/>
    </row>
    <row r="985" spans="5:5" ht="12.5">
      <c r="E985" s="3"/>
    </row>
    <row r="986" spans="5:5" ht="12.5">
      <c r="E986" s="3"/>
    </row>
    <row r="987" spans="5:5" ht="12.5">
      <c r="E987" s="3"/>
    </row>
    <row r="988" spans="5:5" ht="12.5">
      <c r="E988" s="3"/>
    </row>
    <row r="989" spans="5:5" ht="12.5">
      <c r="E989" s="3"/>
    </row>
    <row r="990" spans="5:5" ht="12.5">
      <c r="E990" s="3"/>
    </row>
    <row r="991" spans="5:5" ht="12.5">
      <c r="E991" s="3"/>
    </row>
    <row r="992" spans="5:5" ht="12.5">
      <c r="E992" s="3"/>
    </row>
    <row r="993" spans="5:5" ht="12.5">
      <c r="E993" s="3"/>
    </row>
    <row r="994" spans="5:5" ht="12.5">
      <c r="E994" s="3"/>
    </row>
    <row r="995" spans="5:5" ht="12.5">
      <c r="E995" s="3"/>
    </row>
    <row r="996" spans="5:5" ht="12.5">
      <c r="E996" s="3"/>
    </row>
    <row r="997" spans="5:5" ht="12.5">
      <c r="E997" s="3"/>
    </row>
    <row r="998" spans="5:5" ht="12.5">
      <c r="E998" s="3"/>
    </row>
    <row r="999" spans="5:5" ht="12.5">
      <c r="E999" s="3"/>
    </row>
    <row r="1000" spans="5:5" ht="12.5">
      <c r="E1000" s="3"/>
    </row>
    <row r="1001" spans="5:5" ht="12.5">
      <c r="E1001" s="3"/>
    </row>
  </sheetData>
  <conditionalFormatting sqref="C4:G25">
    <cfRule type="expression" dxfId="5" priority="2" stopIfTrue="1">
      <formula>TRUE</formula>
    </cfRule>
    <cfRule type="expression" dxfId="4" priority="6" stopIfTrue="1">
      <formula>TRUE</formula>
    </cfRule>
  </conditionalFormatting>
  <conditionalFormatting sqref="C44:G75">
    <cfRule type="expression" dxfId="3" priority="1" stopIfTrue="1">
      <formula>TRUE</formula>
    </cfRule>
    <cfRule type="expression" dxfId="2" priority="4" stopIfTrue="1">
      <formula>TRUE</formula>
    </cfRule>
  </conditionalFormatting>
  <conditionalFormatting sqref="C73:G90">
    <cfRule type="expression" dxfId="1" priority="3" stopIfTrue="1">
      <formula>TRUE</formula>
    </cfRule>
  </conditionalFormatting>
  <conditionalFormatting sqref="D4:G45 C26:C45">
    <cfRule type="expression" dxfId="0" priority="5" stopIfTrue="1">
      <formula>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דוגמא</vt:lpstr>
      <vt:lpstr>שבת, 21.02</vt:lpstr>
      <vt:lpstr>ראשון, 22.02</vt:lpstr>
      <vt:lpstr>טלפונים חשובים</vt:lpstr>
      <vt:lpstr>פרטים אישיים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מאיר יוסט</cp:lastModifiedBy>
  <dcterms:modified xsi:type="dcterms:W3CDTF">2026-04-12T09:45:56Z</dcterms:modified>
</cp:coreProperties>
</file>